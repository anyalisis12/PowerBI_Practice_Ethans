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dha\OneDrive\Documents\Ethans session\PowerBI\"/>
    </mc:Choice>
  </mc:AlternateContent>
  <xr:revisionPtr revIDLastSave="0" documentId="8_{EA217335-1EAE-44B4-97AF-0BD206C0442F}" xr6:coauthVersionLast="47" xr6:coauthVersionMax="47" xr10:uidLastSave="{00000000-0000-0000-0000-000000000000}"/>
  <bookViews>
    <workbookView xWindow="-108" yWindow="-108" windowWidth="23256" windowHeight="12456" xr2:uid="{B029E241-94A6-401D-B171-338481780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3" i="1" l="1"/>
  <c r="C303" i="1"/>
  <c r="F302" i="1"/>
  <c r="F301" i="1"/>
  <c r="C301" i="1"/>
  <c r="F300" i="1"/>
  <c r="C300" i="1"/>
  <c r="F299" i="1"/>
  <c r="C299" i="1"/>
  <c r="F298" i="1"/>
  <c r="C298" i="1"/>
  <c r="F297" i="1"/>
  <c r="C297" i="1"/>
  <c r="F296" i="1"/>
  <c r="C296" i="1"/>
  <c r="F295" i="1"/>
  <c r="C295" i="1"/>
  <c r="F294" i="1"/>
  <c r="C294" i="1"/>
  <c r="F293" i="1"/>
  <c r="C293" i="1"/>
  <c r="F292" i="1"/>
  <c r="C292" i="1"/>
  <c r="F291" i="1"/>
  <c r="C291" i="1"/>
  <c r="F290" i="1"/>
  <c r="C290" i="1"/>
  <c r="F289" i="1"/>
  <c r="C289" i="1"/>
  <c r="F288" i="1"/>
  <c r="C288" i="1"/>
  <c r="F287" i="1"/>
  <c r="C287" i="1"/>
  <c r="F286" i="1"/>
  <c r="C286" i="1"/>
  <c r="F285" i="1"/>
  <c r="C285" i="1"/>
  <c r="F284" i="1"/>
  <c r="C284" i="1"/>
  <c r="F283" i="1"/>
  <c r="C283" i="1"/>
  <c r="F282" i="1"/>
  <c r="C282" i="1"/>
  <c r="F281" i="1"/>
  <c r="C281" i="1"/>
  <c r="F280" i="1"/>
  <c r="C280" i="1"/>
  <c r="F279" i="1"/>
  <c r="C279" i="1"/>
  <c r="F278" i="1"/>
  <c r="C278" i="1"/>
  <c r="F277" i="1"/>
  <c r="C277" i="1"/>
  <c r="F276" i="1"/>
  <c r="C276" i="1"/>
  <c r="F275" i="1"/>
  <c r="C275" i="1"/>
  <c r="F274" i="1"/>
  <c r="C274" i="1"/>
  <c r="F273" i="1"/>
  <c r="C273" i="1"/>
  <c r="F272" i="1"/>
  <c r="C272" i="1"/>
  <c r="F271" i="1"/>
  <c r="C271" i="1"/>
  <c r="F270" i="1"/>
  <c r="C270" i="1"/>
  <c r="F269" i="1"/>
  <c r="C269" i="1"/>
  <c r="F268" i="1"/>
  <c r="C268" i="1"/>
  <c r="F267" i="1"/>
  <c r="C267" i="1"/>
  <c r="F266" i="1"/>
  <c r="C266" i="1"/>
  <c r="F265" i="1"/>
  <c r="C265" i="1"/>
  <c r="F264" i="1"/>
  <c r="C264" i="1"/>
  <c r="F263" i="1"/>
  <c r="C263" i="1"/>
  <c r="F262" i="1"/>
  <c r="C262" i="1"/>
  <c r="F261" i="1"/>
  <c r="C261" i="1"/>
  <c r="F260" i="1"/>
  <c r="C260" i="1"/>
  <c r="F259" i="1"/>
  <c r="C259" i="1"/>
  <c r="F258" i="1"/>
  <c r="C258" i="1"/>
  <c r="F257" i="1"/>
  <c r="C257" i="1"/>
  <c r="F256" i="1"/>
  <c r="C256" i="1"/>
  <c r="F255" i="1"/>
  <c r="C255" i="1"/>
  <c r="F254" i="1"/>
  <c r="C254" i="1"/>
  <c r="F253" i="1"/>
  <c r="C253" i="1"/>
  <c r="F252" i="1"/>
  <c r="C252" i="1"/>
  <c r="F251" i="1"/>
  <c r="C251" i="1"/>
  <c r="F250" i="1"/>
  <c r="C250" i="1"/>
  <c r="F249" i="1"/>
  <c r="C249" i="1"/>
  <c r="F248" i="1"/>
  <c r="C248" i="1"/>
  <c r="F247" i="1"/>
  <c r="C247" i="1"/>
  <c r="F246" i="1"/>
  <c r="C246" i="1"/>
  <c r="F245" i="1"/>
  <c r="C245" i="1"/>
  <c r="F244" i="1"/>
  <c r="C244" i="1"/>
  <c r="F243" i="1"/>
  <c r="C243" i="1"/>
  <c r="F242" i="1"/>
  <c r="C242" i="1"/>
  <c r="F241" i="1"/>
  <c r="C241" i="1"/>
  <c r="F240" i="1"/>
  <c r="C240" i="1"/>
  <c r="F239" i="1"/>
  <c r="C239" i="1"/>
  <c r="F238" i="1"/>
  <c r="C238" i="1"/>
  <c r="F237" i="1"/>
  <c r="C237" i="1"/>
  <c r="F236" i="1"/>
  <c r="C236" i="1"/>
  <c r="F235" i="1"/>
  <c r="C235" i="1"/>
  <c r="F234" i="1"/>
  <c r="C234" i="1"/>
  <c r="F233" i="1"/>
  <c r="C233" i="1"/>
  <c r="F232" i="1"/>
  <c r="C232" i="1"/>
  <c r="F231" i="1"/>
  <c r="C231" i="1"/>
  <c r="F230" i="1"/>
  <c r="C230" i="1"/>
  <c r="F229" i="1"/>
  <c r="C229" i="1"/>
  <c r="F228" i="1"/>
  <c r="C228" i="1"/>
  <c r="F227" i="1"/>
  <c r="C227" i="1"/>
  <c r="F226" i="1"/>
  <c r="C226" i="1"/>
  <c r="F225" i="1"/>
  <c r="C225" i="1"/>
  <c r="F224" i="1"/>
  <c r="C224" i="1"/>
  <c r="F223" i="1"/>
  <c r="C223" i="1"/>
  <c r="F222" i="1"/>
  <c r="C222" i="1"/>
  <c r="F221" i="1"/>
  <c r="C221" i="1"/>
  <c r="F220" i="1"/>
  <c r="C220" i="1"/>
  <c r="F219" i="1"/>
  <c r="C219" i="1"/>
  <c r="F218" i="1"/>
  <c r="C218" i="1"/>
  <c r="F217" i="1"/>
  <c r="C217" i="1"/>
  <c r="F216" i="1"/>
  <c r="C216" i="1"/>
  <c r="F215" i="1"/>
  <c r="C215" i="1"/>
  <c r="F214" i="1"/>
  <c r="C214" i="1"/>
  <c r="F213" i="1"/>
  <c r="C213" i="1"/>
  <c r="F212" i="1"/>
  <c r="C212" i="1"/>
  <c r="F211" i="1"/>
  <c r="C211" i="1"/>
  <c r="F210" i="1"/>
  <c r="C210" i="1"/>
  <c r="F209" i="1"/>
  <c r="C209" i="1"/>
  <c r="F208" i="1"/>
  <c r="C208" i="1"/>
  <c r="F207" i="1"/>
  <c r="C207" i="1"/>
  <c r="F206" i="1"/>
  <c r="C206" i="1"/>
  <c r="F205" i="1"/>
  <c r="C205" i="1"/>
  <c r="F204" i="1"/>
  <c r="C204" i="1"/>
  <c r="F203" i="1"/>
  <c r="C203" i="1"/>
  <c r="F202" i="1"/>
  <c r="C202" i="1"/>
  <c r="F201" i="1"/>
  <c r="C201" i="1"/>
  <c r="F200" i="1"/>
  <c r="C200" i="1"/>
  <c r="F199" i="1"/>
  <c r="C199" i="1"/>
  <c r="F198" i="1"/>
  <c r="C198" i="1"/>
  <c r="F197" i="1"/>
  <c r="C197" i="1"/>
  <c r="F196" i="1"/>
  <c r="C196" i="1"/>
  <c r="F195" i="1"/>
  <c r="C195" i="1"/>
  <c r="F194" i="1"/>
  <c r="C194" i="1"/>
  <c r="F193" i="1"/>
  <c r="C193" i="1"/>
  <c r="F192" i="1"/>
  <c r="C192" i="1"/>
  <c r="F191" i="1"/>
  <c r="C191" i="1"/>
  <c r="F190" i="1"/>
  <c r="C190" i="1"/>
  <c r="F189" i="1"/>
  <c r="C189" i="1"/>
  <c r="F188" i="1"/>
  <c r="C188" i="1"/>
  <c r="F187" i="1"/>
  <c r="C187" i="1"/>
  <c r="F186" i="1"/>
  <c r="C186" i="1"/>
  <c r="F185" i="1"/>
  <c r="C185" i="1"/>
  <c r="F184" i="1"/>
  <c r="C184" i="1"/>
  <c r="F183" i="1"/>
  <c r="C183" i="1"/>
  <c r="F182" i="1"/>
  <c r="C182" i="1"/>
  <c r="F181" i="1"/>
  <c r="C181" i="1"/>
  <c r="F180" i="1"/>
  <c r="C180" i="1"/>
  <c r="F179" i="1"/>
  <c r="C179" i="1"/>
  <c r="F178" i="1"/>
  <c r="C178" i="1"/>
  <c r="F177" i="1"/>
  <c r="C177" i="1"/>
  <c r="F176" i="1"/>
  <c r="C176" i="1"/>
  <c r="F175" i="1"/>
  <c r="C175" i="1"/>
  <c r="F174" i="1"/>
  <c r="C174" i="1"/>
  <c r="F173" i="1"/>
  <c r="C173" i="1"/>
  <c r="F172" i="1"/>
  <c r="C172" i="1"/>
  <c r="F171" i="1"/>
  <c r="C171" i="1"/>
  <c r="F170" i="1"/>
  <c r="C170" i="1"/>
  <c r="F169" i="1"/>
  <c r="C169" i="1"/>
  <c r="F168" i="1"/>
  <c r="C168" i="1"/>
  <c r="F167" i="1"/>
  <c r="C167" i="1"/>
  <c r="F166" i="1"/>
  <c r="C166" i="1"/>
  <c r="F165" i="1"/>
  <c r="C165" i="1"/>
  <c r="F164" i="1"/>
  <c r="C164" i="1"/>
  <c r="F163" i="1"/>
  <c r="C163" i="1"/>
  <c r="F162" i="1"/>
  <c r="C162" i="1"/>
  <c r="F161" i="1"/>
  <c r="C161" i="1"/>
  <c r="F160" i="1"/>
  <c r="C160" i="1"/>
  <c r="F159" i="1"/>
  <c r="C159" i="1"/>
  <c r="F158" i="1"/>
  <c r="C158" i="1"/>
  <c r="F157" i="1"/>
  <c r="C157" i="1"/>
  <c r="F156" i="1"/>
  <c r="C156" i="1"/>
  <c r="F155" i="1"/>
  <c r="C155" i="1"/>
  <c r="F154" i="1"/>
  <c r="C154" i="1"/>
  <c r="F153" i="1"/>
  <c r="C153" i="1"/>
  <c r="F152" i="1"/>
  <c r="C152" i="1"/>
  <c r="F151" i="1"/>
  <c r="C151" i="1"/>
  <c r="F150" i="1"/>
  <c r="C150" i="1"/>
  <c r="F149" i="1"/>
  <c r="C149" i="1"/>
  <c r="F148" i="1"/>
  <c r="C148" i="1"/>
  <c r="F147" i="1"/>
  <c r="C147" i="1"/>
  <c r="F146" i="1"/>
  <c r="C146" i="1"/>
  <c r="F145" i="1"/>
  <c r="C145" i="1"/>
  <c r="F144" i="1"/>
  <c r="C144" i="1"/>
  <c r="F143" i="1"/>
  <c r="C143" i="1"/>
  <c r="F142" i="1"/>
  <c r="C142" i="1"/>
  <c r="F141" i="1"/>
  <c r="C141" i="1"/>
  <c r="F140" i="1"/>
  <c r="C140" i="1"/>
  <c r="F139" i="1"/>
  <c r="C139" i="1"/>
  <c r="F138" i="1"/>
  <c r="C138" i="1"/>
  <c r="F137" i="1"/>
  <c r="C137" i="1"/>
  <c r="F136" i="1"/>
  <c r="C136" i="1"/>
  <c r="F135" i="1"/>
  <c r="C135" i="1"/>
  <c r="F134" i="1"/>
  <c r="C134" i="1"/>
  <c r="F133" i="1"/>
  <c r="C133" i="1"/>
  <c r="F132" i="1"/>
  <c r="C132" i="1"/>
  <c r="F131" i="1"/>
  <c r="C131" i="1"/>
  <c r="F130" i="1"/>
  <c r="C130" i="1"/>
  <c r="F129" i="1"/>
  <c r="C129" i="1"/>
  <c r="F128" i="1"/>
  <c r="C128" i="1"/>
  <c r="F127" i="1"/>
  <c r="C127" i="1"/>
  <c r="F126" i="1"/>
  <c r="C126" i="1"/>
  <c r="F125" i="1"/>
  <c r="C125" i="1"/>
  <c r="F124" i="1"/>
  <c r="C124" i="1"/>
  <c r="F123" i="1"/>
  <c r="C123" i="1"/>
  <c r="F122" i="1"/>
  <c r="C122" i="1"/>
  <c r="F121" i="1"/>
  <c r="C121" i="1"/>
  <c r="F120" i="1"/>
  <c r="C120" i="1"/>
  <c r="F119" i="1"/>
  <c r="C119" i="1"/>
  <c r="F118" i="1"/>
  <c r="C118" i="1"/>
  <c r="F117" i="1"/>
  <c r="C117" i="1"/>
  <c r="F116" i="1"/>
  <c r="C116" i="1"/>
  <c r="F115" i="1"/>
  <c r="C115" i="1"/>
  <c r="F114" i="1"/>
  <c r="C114" i="1"/>
  <c r="F113" i="1"/>
  <c r="C113" i="1"/>
  <c r="F112" i="1"/>
  <c r="C112" i="1"/>
  <c r="F111" i="1"/>
  <c r="C111" i="1"/>
  <c r="F110" i="1"/>
  <c r="C110" i="1"/>
  <c r="F109" i="1"/>
  <c r="C109" i="1"/>
  <c r="F108" i="1"/>
  <c r="C108" i="1"/>
  <c r="F107" i="1"/>
  <c r="C107" i="1"/>
  <c r="F106" i="1"/>
  <c r="C106" i="1"/>
  <c r="F105" i="1"/>
  <c r="C105" i="1"/>
  <c r="F104" i="1"/>
  <c r="C104" i="1"/>
  <c r="F103" i="1"/>
  <c r="C103" i="1"/>
  <c r="F102" i="1"/>
  <c r="C102" i="1"/>
  <c r="F101" i="1"/>
  <c r="C101" i="1"/>
  <c r="F100" i="1"/>
  <c r="C100" i="1"/>
  <c r="F99" i="1"/>
  <c r="C99" i="1"/>
  <c r="F98" i="1"/>
  <c r="C98" i="1"/>
  <c r="F97" i="1"/>
  <c r="C97" i="1"/>
  <c r="F96" i="1"/>
  <c r="C96" i="1"/>
  <c r="F95" i="1"/>
  <c r="C95" i="1"/>
  <c r="F94" i="1"/>
  <c r="C94" i="1"/>
  <c r="F93" i="1"/>
  <c r="C93" i="1"/>
  <c r="F92" i="1"/>
  <c r="C92" i="1"/>
  <c r="F91" i="1"/>
  <c r="C91" i="1"/>
  <c r="F90" i="1"/>
  <c r="C90" i="1"/>
  <c r="F89" i="1"/>
  <c r="C89" i="1"/>
  <c r="F88" i="1"/>
  <c r="C88" i="1"/>
  <c r="F87" i="1"/>
  <c r="C87" i="1"/>
  <c r="F86" i="1"/>
  <c r="C86" i="1"/>
  <c r="F85" i="1"/>
  <c r="C85" i="1"/>
  <c r="F84" i="1"/>
  <c r="C84" i="1"/>
  <c r="F83" i="1"/>
  <c r="C83" i="1"/>
  <c r="F82" i="1"/>
  <c r="C82" i="1"/>
  <c r="F81" i="1"/>
  <c r="C81" i="1"/>
  <c r="F80" i="1"/>
  <c r="C80" i="1"/>
  <c r="F79" i="1"/>
  <c r="C79" i="1"/>
  <c r="F78" i="1"/>
  <c r="C78" i="1"/>
  <c r="F77" i="1"/>
  <c r="C77" i="1"/>
  <c r="F76" i="1"/>
  <c r="C76" i="1"/>
  <c r="F75" i="1"/>
  <c r="C75" i="1"/>
  <c r="F74" i="1"/>
  <c r="C74" i="1"/>
  <c r="F73" i="1"/>
  <c r="C73" i="1"/>
  <c r="F72" i="1"/>
  <c r="C72" i="1"/>
  <c r="F71" i="1"/>
  <c r="C71" i="1"/>
  <c r="F70" i="1"/>
  <c r="C70" i="1"/>
  <c r="F69" i="1"/>
  <c r="C69" i="1"/>
  <c r="F68" i="1"/>
  <c r="C68" i="1"/>
  <c r="F67" i="1"/>
  <c r="C67" i="1"/>
  <c r="F66" i="1"/>
  <c r="C66" i="1"/>
  <c r="F65" i="1"/>
  <c r="C65" i="1"/>
  <c r="F64" i="1"/>
  <c r="C64" i="1"/>
  <c r="F63" i="1"/>
  <c r="C63" i="1"/>
  <c r="F62" i="1"/>
  <c r="C62" i="1"/>
  <c r="F61" i="1"/>
  <c r="C61" i="1"/>
  <c r="F60" i="1"/>
  <c r="C60" i="1"/>
  <c r="F59" i="1"/>
  <c r="C59" i="1"/>
  <c r="F58" i="1"/>
  <c r="C58" i="1"/>
  <c r="F57" i="1"/>
  <c r="C57" i="1"/>
  <c r="F56" i="1"/>
  <c r="C56" i="1"/>
  <c r="F55" i="1"/>
  <c r="C55" i="1"/>
  <c r="F54" i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  <c r="F2" i="1"/>
  <c r="C2" i="1"/>
</calcChain>
</file>

<file path=xl/sharedStrings.xml><?xml version="1.0" encoding="utf-8"?>
<sst xmlns="http://schemas.openxmlformats.org/spreadsheetml/2006/main" count="933" uniqueCount="47">
  <si>
    <t>Sales Person</t>
  </si>
  <si>
    <t>Geography</t>
  </si>
  <si>
    <t>Total Amount2</t>
  </si>
  <si>
    <t>Product</t>
  </si>
  <si>
    <t>Amount</t>
  </si>
  <si>
    <t>Profit</t>
  </si>
  <si>
    <t>Cost</t>
  </si>
  <si>
    <t>Units</t>
  </si>
  <si>
    <t>Cost per unit</t>
  </si>
  <si>
    <t>Ram Mahesh</t>
  </si>
  <si>
    <t>New Zealand</t>
  </si>
  <si>
    <t>70% Dark Bites</t>
  </si>
  <si>
    <t>Milk Bars</t>
  </si>
  <si>
    <t>Brien Boise</t>
  </si>
  <si>
    <t>USA</t>
  </si>
  <si>
    <t>Choco Coated Almonds</t>
  </si>
  <si>
    <t>50% Dark Bites</t>
  </si>
  <si>
    <t>Husein Augar</t>
  </si>
  <si>
    <t>Almond Choco</t>
  </si>
  <si>
    <t>Carla Molina</t>
  </si>
  <si>
    <t>Canada</t>
  </si>
  <si>
    <t>Drinking Coco</t>
  </si>
  <si>
    <t>Raspberry Choco</t>
  </si>
  <si>
    <t>Curtice Advani</t>
  </si>
  <si>
    <t>UK</t>
  </si>
  <si>
    <t>White Choc</t>
  </si>
  <si>
    <t>Mint Chip Choco</t>
  </si>
  <si>
    <t>Peanut Butter Cubes</t>
  </si>
  <si>
    <t>Eclairs</t>
  </si>
  <si>
    <t>Australia</t>
  </si>
  <si>
    <t>Smooth Sliky Salty</t>
  </si>
  <si>
    <t>After Nines</t>
  </si>
  <si>
    <t>99% Dark &amp; Pure</t>
  </si>
  <si>
    <t>Ches Bonnell</t>
  </si>
  <si>
    <t>Orange Choco</t>
  </si>
  <si>
    <t>Gigi Bohling</t>
  </si>
  <si>
    <t>Spicy Special Slims</t>
  </si>
  <si>
    <t>Barr Faughny</t>
  </si>
  <si>
    <t>Gunar Cockshoot</t>
  </si>
  <si>
    <t>Fruit &amp; Nut Bars</t>
  </si>
  <si>
    <t>85% Dark Bars</t>
  </si>
  <si>
    <t>India</t>
  </si>
  <si>
    <t>Baker's Choco Chips</t>
  </si>
  <si>
    <t>Manuka Honey Choco</t>
  </si>
  <si>
    <t>Organic Choco Syrup</t>
  </si>
  <si>
    <t>Caramel Stuffed Bars</t>
  </si>
  <si>
    <t>Oby Sorrel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</si>
</sst>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0" fillId="4" borderId="1" xfId="0" applyFill="1" applyBorder="1"/>
    <xf numFmtId="164" fontId="4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AE51F-1B79-4D77-8429-F7982262919A}" name="sale" displayName="sale" ref="A1:H303">
  <autoFilter ref="A1:H303" xr:uid="{472AE51F-1B79-4D77-8429-F7982262919A}"/>
  <tableColumns count="8">
    <tableColumn id="1" xr3:uid="{CDBC2DF5-F248-4D04-B1BF-F695D71A5D1E}" name="Sales Person" dataDxfId="10"/>
    <tableColumn id="2" xr3:uid="{CF1EA2DF-8A45-4F48-862D-AC2B23B5C8A0}" name="Geography" dataDxfId="9"/>
    <tableColumn id="6" xr3:uid="{FA88568A-7511-4785-8C5C-A2AAF8BBA305}" name="Total Amount2" dataDxfId="8">
      <calculatedColumnFormula>SUMIFS(sale[Amount],sale[Geography],B1)</calculatedColumnFormula>
    </tableColumn>
    <tableColumn id="3" xr3:uid="{AD7F10C9-A0DC-4015-BC4F-0CD1C3E3808B}" name="Product" dataDxfId="7"/>
    <tableColumn id="4" xr3:uid="{42F16505-02F3-4BF7-B237-C74A45844D98}" name="Amount" dataDxfId="6"/>
    <tableColumn id="7" xr3:uid="{8C181844-DCEB-46E6-B71C-B7E50D1E4676}" name="Profit" dataDxfId="5">
      <calculatedColumnFormula>sale[[#This Row],[Amount]]-sale[[#This Row],[Cost]]</calculatedColumnFormula>
    </tableColumn>
    <tableColumn id="8" xr3:uid="{85740395-7CF9-4018-B2E5-42AB82B8F289}" name="Cost" dataDxfId="4"/>
    <tableColumn id="5" xr3:uid="{2FE13A8F-B7CE-4827-90D0-8E8F261ABEFF}" name="Units" dataDxfId="3"/>
  </tableColumns>
  <tableStyleInfo name="TableStyleMedium1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22C58E-E43B-4CCD-AA09-68A5E5806E3F}" name="Table_2" displayName="Table_2" ref="J1:K501">
  <autoFilter ref="J1:K501" xr:uid="{CF22C58E-E43B-4CCD-AA09-68A5E5806E3F}"/>
  <tableColumns count="2">
    <tableColumn id="1" xr3:uid="{2EB6D70F-C81F-4580-AFE2-9F37F6B8EA86}" name="Product" dataDxfId="2"/>
    <tableColumn id="2" xr3:uid="{B2419F71-F364-48EB-B836-3FA402C2F673}" name="Cost per unit" dataDxfId="1"/>
  </tableColumns>
  <tableStyleInfo name="TableStyleMedium16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11DC9D-C92B-40AF-8C5B-069C66A4912D}" name="Table8" displayName="Table8" ref="I1:I502" totalsRowShown="0">
  <autoFilter ref="I1:I502" xr:uid="{E511DC9D-C92B-40AF-8C5B-069C66A4912D}"/>
  <tableColumns count="1">
    <tableColumn id="2" xr3:uid="{82FE3E56-FB39-4155-A658-4A68EBC4A030}" name="Unit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E4B7-D556-4042-B520-9D189E9BEDA2}">
  <dimension ref="A1:K501"/>
  <sheetViews>
    <sheetView tabSelected="1" workbookViewId="0">
      <selection sqref="A1:K1048576"/>
    </sheetView>
  </sheetViews>
  <sheetFormatPr defaultRowHeight="14.4" x14ac:dyDescent="0.3"/>
  <cols>
    <col min="1" max="1" width="13.33203125" style="2" customWidth="1"/>
    <col min="2" max="2" width="15.21875" style="2" customWidth="1"/>
    <col min="3" max="3" width="16.77734375" style="2" customWidth="1"/>
    <col min="4" max="4" width="20.44140625" style="2" customWidth="1"/>
    <col min="5" max="5" width="12.109375" style="2" customWidth="1"/>
    <col min="6" max="6" width="13.33203125" style="2" customWidth="1"/>
    <col min="7" max="7" width="12.109375" style="2" customWidth="1"/>
    <col min="8" max="8" width="8.88671875" style="2"/>
    <col min="9" max="9" width="14" style="2" customWidth="1"/>
    <col min="10" max="10" width="15.77734375" style="2" customWidth="1"/>
    <col min="11" max="11" width="13.5546875" style="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7</v>
      </c>
      <c r="J1" s="4" t="s">
        <v>3</v>
      </c>
      <c r="K1" s="4" t="s">
        <v>8</v>
      </c>
    </row>
    <row r="2" spans="1:11" x14ac:dyDescent="0.3">
      <c r="A2" s="5" t="s">
        <v>9</v>
      </c>
      <c r="B2" s="5" t="s">
        <v>10</v>
      </c>
      <c r="C2" s="5">
        <f>SUMIFS(sale[Amount],sale[Geography],B2)</f>
        <v>218813</v>
      </c>
      <c r="D2" s="2" t="s">
        <v>11</v>
      </c>
      <c r="E2" s="2">
        <v>1624</v>
      </c>
      <c r="F2" s="2">
        <f>sale[[#This Row],[Amount]]-sale[[#This Row],[Cost]]</f>
        <v>-27.860000000000127</v>
      </c>
      <c r="G2" s="6">
        <v>1651.8600000000001</v>
      </c>
      <c r="H2" s="2">
        <v>114</v>
      </c>
      <c r="I2" s="2">
        <v>114</v>
      </c>
      <c r="J2" s="4" t="s">
        <v>12</v>
      </c>
      <c r="K2" s="7">
        <v>9.33</v>
      </c>
    </row>
    <row r="3" spans="1:11" x14ac:dyDescent="0.3">
      <c r="A3" s="8" t="s">
        <v>13</v>
      </c>
      <c r="B3" s="8" t="s">
        <v>14</v>
      </c>
      <c r="C3" s="5">
        <f>SUMIFS(sale[Amount],sale[Geography],B3)</f>
        <v>189434</v>
      </c>
      <c r="D3" s="2" t="s">
        <v>15</v>
      </c>
      <c r="E3" s="2">
        <v>6706</v>
      </c>
      <c r="F3" s="2">
        <f>sale[[#This Row],[Amount]]-sale[[#This Row],[Cost]]</f>
        <v>2735.6499999999996</v>
      </c>
      <c r="G3" s="2">
        <v>3970.3500000000004</v>
      </c>
      <c r="H3" s="2">
        <v>459</v>
      </c>
      <c r="I3" s="2">
        <v>459</v>
      </c>
      <c r="J3" s="4" t="s">
        <v>16</v>
      </c>
      <c r="K3" s="7">
        <v>11.7</v>
      </c>
    </row>
    <row r="4" spans="1:11" x14ac:dyDescent="0.3">
      <c r="A4" s="5" t="s">
        <v>17</v>
      </c>
      <c r="B4" s="5" t="s">
        <v>14</v>
      </c>
      <c r="C4" s="5">
        <f>SUMIFS(sale[Amount],sale[Geography],B4)</f>
        <v>189434</v>
      </c>
      <c r="D4" s="2" t="s">
        <v>18</v>
      </c>
      <c r="E4" s="2">
        <v>959</v>
      </c>
      <c r="F4" s="2">
        <f>sale[[#This Row],[Amount]]-sale[[#This Row],[Cost]]</f>
        <v>-787.36000000000013</v>
      </c>
      <c r="G4" s="6">
        <v>1746.3600000000001</v>
      </c>
      <c r="H4" s="2">
        <v>147</v>
      </c>
      <c r="I4" s="2">
        <v>147</v>
      </c>
      <c r="J4" s="4" t="s">
        <v>18</v>
      </c>
      <c r="K4" s="7">
        <v>11.88</v>
      </c>
    </row>
    <row r="5" spans="1:11" x14ac:dyDescent="0.3">
      <c r="A5" s="8" t="s">
        <v>19</v>
      </c>
      <c r="B5" s="8" t="s">
        <v>20</v>
      </c>
      <c r="C5" s="5">
        <f>SUMIFS(sale[Amount],sale[Geography],B5)</f>
        <v>237944</v>
      </c>
      <c r="D5" s="2" t="s">
        <v>21</v>
      </c>
      <c r="E5" s="2">
        <v>9632</v>
      </c>
      <c r="F5" s="2">
        <f>sale[[#This Row],[Amount]]-sale[[#This Row],[Cost]]</f>
        <v>7768.64</v>
      </c>
      <c r="G5" s="2">
        <v>1863.36</v>
      </c>
      <c r="H5" s="2">
        <v>288</v>
      </c>
      <c r="I5" s="2">
        <v>288</v>
      </c>
      <c r="J5" s="4" t="s">
        <v>22</v>
      </c>
      <c r="K5" s="7">
        <v>11.73</v>
      </c>
    </row>
    <row r="6" spans="1:11" x14ac:dyDescent="0.3">
      <c r="A6" s="5" t="s">
        <v>23</v>
      </c>
      <c r="B6" s="5" t="s">
        <v>24</v>
      </c>
      <c r="C6" s="5">
        <f>SUMIFS(sale[Amount],sale[Geography],B6)</f>
        <v>173530</v>
      </c>
      <c r="D6" s="2" t="s">
        <v>25</v>
      </c>
      <c r="E6" s="2">
        <v>2100</v>
      </c>
      <c r="F6" s="2">
        <f>sale[[#This Row],[Amount]]-sale[[#This Row],[Cost]]</f>
        <v>-3344.1000000000004</v>
      </c>
      <c r="G6" s="6">
        <v>5444.1</v>
      </c>
      <c r="H6" s="2">
        <v>414</v>
      </c>
      <c r="I6" s="2">
        <v>414</v>
      </c>
      <c r="J6" s="4" t="s">
        <v>26</v>
      </c>
      <c r="K6" s="7">
        <v>8.7899999999999991</v>
      </c>
    </row>
    <row r="7" spans="1:11" x14ac:dyDescent="0.3">
      <c r="A7" s="8" t="s">
        <v>9</v>
      </c>
      <c r="B7" s="8" t="s">
        <v>14</v>
      </c>
      <c r="C7" s="5">
        <f>SUMIFS(sale[Amount],sale[Geography],B7)</f>
        <v>189434</v>
      </c>
      <c r="D7" s="2" t="s">
        <v>27</v>
      </c>
      <c r="E7" s="2">
        <v>8869</v>
      </c>
      <c r="F7" s="2">
        <f>sale[[#This Row],[Amount]]-sale[[#This Row],[Cost]]</f>
        <v>3525.1600000000008</v>
      </c>
      <c r="G7" s="2">
        <v>5343.8399999999992</v>
      </c>
      <c r="H7" s="2">
        <v>432</v>
      </c>
      <c r="I7" s="2">
        <v>432</v>
      </c>
      <c r="J7" s="4" t="s">
        <v>28</v>
      </c>
      <c r="K7" s="7">
        <v>3.11</v>
      </c>
    </row>
    <row r="8" spans="1:11" x14ac:dyDescent="0.3">
      <c r="A8" s="5" t="s">
        <v>23</v>
      </c>
      <c r="B8" s="5" t="s">
        <v>29</v>
      </c>
      <c r="C8" s="5">
        <f>SUMIFS(sale[Amount],sale[Geography],B8)</f>
        <v>168679</v>
      </c>
      <c r="D8" s="2" t="s">
        <v>30</v>
      </c>
      <c r="E8" s="2">
        <v>2681</v>
      </c>
      <c r="F8" s="2">
        <f>sale[[#This Row],[Amount]]-sale[[#This Row],[Cost]]</f>
        <v>2368.34</v>
      </c>
      <c r="G8" s="6">
        <v>312.66000000000003</v>
      </c>
      <c r="H8" s="2">
        <v>54</v>
      </c>
      <c r="I8" s="2">
        <v>54</v>
      </c>
      <c r="J8" s="4" t="s">
        <v>21</v>
      </c>
      <c r="K8" s="7">
        <v>6.47</v>
      </c>
    </row>
    <row r="9" spans="1:11" x14ac:dyDescent="0.3">
      <c r="A9" s="8" t="s">
        <v>13</v>
      </c>
      <c r="B9" s="8" t="s">
        <v>14</v>
      </c>
      <c r="C9" s="5">
        <f>SUMIFS(sale[Amount],sale[Geography],B9)</f>
        <v>189434</v>
      </c>
      <c r="D9" s="2" t="s">
        <v>31</v>
      </c>
      <c r="E9" s="2">
        <v>5012</v>
      </c>
      <c r="F9" s="2">
        <f>sale[[#This Row],[Amount]]-sale[[#This Row],[Cost]]</f>
        <v>2960.3</v>
      </c>
      <c r="G9" s="2">
        <v>2051.6999999999998</v>
      </c>
      <c r="H9" s="2">
        <v>210</v>
      </c>
      <c r="I9" s="2">
        <v>210</v>
      </c>
      <c r="J9" s="4" t="s">
        <v>32</v>
      </c>
      <c r="K9" s="7">
        <v>7.64</v>
      </c>
    </row>
    <row r="10" spans="1:11" x14ac:dyDescent="0.3">
      <c r="A10" s="5" t="s">
        <v>33</v>
      </c>
      <c r="B10" s="5" t="s">
        <v>29</v>
      </c>
      <c r="C10" s="5">
        <f>SUMIFS(sale[Amount],sale[Geography],B10)</f>
        <v>168679</v>
      </c>
      <c r="D10" s="2" t="s">
        <v>16</v>
      </c>
      <c r="E10" s="2">
        <v>1281</v>
      </c>
      <c r="F10" s="2">
        <f>sale[[#This Row],[Amount]]-sale[[#This Row],[Cost]]</f>
        <v>403.5</v>
      </c>
      <c r="G10" s="6">
        <v>877.5</v>
      </c>
      <c r="H10" s="2">
        <v>75</v>
      </c>
      <c r="I10" s="2">
        <v>75</v>
      </c>
      <c r="J10" s="4" t="s">
        <v>34</v>
      </c>
      <c r="K10" s="7">
        <v>10.62</v>
      </c>
    </row>
    <row r="11" spans="1:11" x14ac:dyDescent="0.3">
      <c r="A11" s="8" t="s">
        <v>35</v>
      </c>
      <c r="B11" s="8" t="s">
        <v>10</v>
      </c>
      <c r="C11" s="5">
        <f>SUMIFS(sale[Amount],sale[Geography],B11)</f>
        <v>218813</v>
      </c>
      <c r="D11" s="2" t="s">
        <v>16</v>
      </c>
      <c r="E11" s="2">
        <v>4991</v>
      </c>
      <c r="F11" s="2">
        <f>sale[[#This Row],[Amount]]-sale[[#This Row],[Cost]]</f>
        <v>4850.6000000000004</v>
      </c>
      <c r="G11" s="2">
        <v>140.39999999999998</v>
      </c>
      <c r="H11" s="2">
        <v>12</v>
      </c>
      <c r="I11" s="2">
        <v>12</v>
      </c>
      <c r="J11" s="4" t="s">
        <v>36</v>
      </c>
      <c r="K11" s="7">
        <v>9</v>
      </c>
    </row>
    <row r="12" spans="1:11" x14ac:dyDescent="0.3">
      <c r="A12" s="5" t="s">
        <v>37</v>
      </c>
      <c r="B12" s="5" t="s">
        <v>24</v>
      </c>
      <c r="C12" s="5">
        <f>SUMIFS(sale[Amount],sale[Geography],B12)</f>
        <v>173530</v>
      </c>
      <c r="D12" s="2" t="s">
        <v>25</v>
      </c>
      <c r="E12" s="2">
        <v>1785</v>
      </c>
      <c r="F12" s="2">
        <f>sale[[#This Row],[Amount]]-sale[[#This Row],[Cost]]</f>
        <v>-4290.3</v>
      </c>
      <c r="G12" s="6">
        <v>6075.3</v>
      </c>
      <c r="H12" s="2">
        <v>462</v>
      </c>
      <c r="I12" s="2">
        <v>462</v>
      </c>
      <c r="J12" s="4" t="s">
        <v>31</v>
      </c>
      <c r="K12" s="7">
        <v>9.77</v>
      </c>
    </row>
    <row r="13" spans="1:11" x14ac:dyDescent="0.3">
      <c r="A13" s="8" t="s">
        <v>38</v>
      </c>
      <c r="B13" s="8" t="s">
        <v>10</v>
      </c>
      <c r="C13" s="5">
        <f>SUMIFS(sale[Amount],sale[Geography],B13)</f>
        <v>218813</v>
      </c>
      <c r="D13" s="2" t="s">
        <v>28</v>
      </c>
      <c r="E13" s="2">
        <v>3983</v>
      </c>
      <c r="F13" s="2">
        <f>sale[[#This Row],[Amount]]-sale[[#This Row],[Cost]]</f>
        <v>3535.16</v>
      </c>
      <c r="G13" s="2">
        <v>447.84</v>
      </c>
      <c r="H13" s="2">
        <v>144</v>
      </c>
      <c r="I13" s="2">
        <v>144</v>
      </c>
      <c r="J13" s="4" t="s">
        <v>39</v>
      </c>
      <c r="K13" s="7">
        <v>6.49</v>
      </c>
    </row>
    <row r="14" spans="1:11" x14ac:dyDescent="0.3">
      <c r="A14" s="5" t="s">
        <v>17</v>
      </c>
      <c r="B14" s="5" t="s">
        <v>29</v>
      </c>
      <c r="C14" s="5">
        <f>SUMIFS(sale[Amount],sale[Geography],B14)</f>
        <v>168679</v>
      </c>
      <c r="D14" s="2" t="s">
        <v>26</v>
      </c>
      <c r="E14" s="2">
        <v>2646</v>
      </c>
      <c r="F14" s="2">
        <f>sale[[#This Row],[Amount]]-sale[[#This Row],[Cost]]</f>
        <v>1591.2</v>
      </c>
      <c r="G14" s="6">
        <v>1054.8</v>
      </c>
      <c r="H14" s="2">
        <v>120</v>
      </c>
      <c r="I14" s="2">
        <v>120</v>
      </c>
      <c r="J14" s="4" t="s">
        <v>40</v>
      </c>
      <c r="K14" s="7">
        <v>4.97</v>
      </c>
    </row>
    <row r="15" spans="1:11" x14ac:dyDescent="0.3">
      <c r="A15" s="8" t="s">
        <v>37</v>
      </c>
      <c r="B15" s="8" t="s">
        <v>41</v>
      </c>
      <c r="C15" s="5">
        <f>SUMIFS(sale[Amount],sale[Geography],B15)</f>
        <v>252469</v>
      </c>
      <c r="D15" s="2" t="s">
        <v>12</v>
      </c>
      <c r="E15" s="2">
        <v>252</v>
      </c>
      <c r="F15" s="2">
        <f>sale[[#This Row],[Amount]]-sale[[#This Row],[Cost]]</f>
        <v>-251.82</v>
      </c>
      <c r="G15" s="2">
        <v>503.82</v>
      </c>
      <c r="H15" s="2">
        <v>54</v>
      </c>
      <c r="I15" s="2">
        <v>54</v>
      </c>
      <c r="J15" s="4" t="s">
        <v>25</v>
      </c>
      <c r="K15" s="7">
        <v>13.15</v>
      </c>
    </row>
    <row r="16" spans="1:11" x14ac:dyDescent="0.3">
      <c r="A16" s="5" t="s">
        <v>38</v>
      </c>
      <c r="B16" s="5" t="s">
        <v>14</v>
      </c>
      <c r="C16" s="5">
        <f>SUMIFS(sale[Amount],sale[Geography],B16)</f>
        <v>189434</v>
      </c>
      <c r="D16" s="2" t="s">
        <v>25</v>
      </c>
      <c r="E16" s="2">
        <v>2464</v>
      </c>
      <c r="F16" s="2">
        <f>sale[[#This Row],[Amount]]-sale[[#This Row],[Cost]]</f>
        <v>-613.09999999999991</v>
      </c>
      <c r="G16" s="6">
        <v>3077.1</v>
      </c>
      <c r="H16" s="2">
        <v>234</v>
      </c>
      <c r="I16" s="2">
        <v>234</v>
      </c>
      <c r="J16" s="4" t="s">
        <v>42</v>
      </c>
      <c r="K16" s="7">
        <v>5.6</v>
      </c>
    </row>
    <row r="17" spans="1:11" x14ac:dyDescent="0.3">
      <c r="A17" s="8" t="s">
        <v>38</v>
      </c>
      <c r="B17" s="8" t="s">
        <v>14</v>
      </c>
      <c r="C17" s="5">
        <f>SUMIFS(sale[Amount],sale[Geography],B17)</f>
        <v>189434</v>
      </c>
      <c r="D17" s="2" t="s">
        <v>43</v>
      </c>
      <c r="E17" s="2">
        <v>2114</v>
      </c>
      <c r="F17" s="2">
        <f>sale[[#This Row],[Amount]]-sale[[#This Row],[Cost]]</f>
        <v>1641.44</v>
      </c>
      <c r="G17" s="2">
        <v>472.56</v>
      </c>
      <c r="H17" s="2">
        <v>66</v>
      </c>
      <c r="I17" s="2">
        <v>66</v>
      </c>
      <c r="J17" s="4" t="s">
        <v>44</v>
      </c>
      <c r="K17" s="7">
        <v>16.73</v>
      </c>
    </row>
    <row r="18" spans="1:11" x14ac:dyDescent="0.3">
      <c r="A18" s="5" t="s">
        <v>23</v>
      </c>
      <c r="B18" s="5" t="s">
        <v>10</v>
      </c>
      <c r="C18" s="5">
        <f>SUMIFS(sale[Amount],sale[Geography],B18)</f>
        <v>218813</v>
      </c>
      <c r="D18" s="2" t="s">
        <v>30</v>
      </c>
      <c r="E18" s="2">
        <v>7693</v>
      </c>
      <c r="F18" s="2">
        <f>sale[[#This Row],[Amount]]-sale[[#This Row],[Cost]]</f>
        <v>7189.27</v>
      </c>
      <c r="G18" s="6">
        <v>503.73</v>
      </c>
      <c r="H18" s="2">
        <v>87</v>
      </c>
      <c r="I18" s="2">
        <v>87</v>
      </c>
      <c r="J18" s="4" t="s">
        <v>45</v>
      </c>
      <c r="K18" s="7">
        <v>10.38</v>
      </c>
    </row>
    <row r="19" spans="1:11" x14ac:dyDescent="0.3">
      <c r="A19" s="8" t="s">
        <v>35</v>
      </c>
      <c r="B19" s="8" t="s">
        <v>41</v>
      </c>
      <c r="C19" s="5">
        <f>SUMIFS(sale[Amount],sale[Geography],B19)</f>
        <v>252469</v>
      </c>
      <c r="D19" s="2" t="s">
        <v>34</v>
      </c>
      <c r="E19" s="2">
        <v>15610</v>
      </c>
      <c r="F19" s="2">
        <f>sale[[#This Row],[Amount]]-sale[[#This Row],[Cost]]</f>
        <v>12009.82</v>
      </c>
      <c r="G19" s="2">
        <v>3600.18</v>
      </c>
      <c r="H19" s="2">
        <v>339</v>
      </c>
      <c r="I19" s="2">
        <v>339</v>
      </c>
      <c r="J19" s="4" t="s">
        <v>43</v>
      </c>
      <c r="K19" s="7">
        <v>7.16</v>
      </c>
    </row>
    <row r="20" spans="1:11" x14ac:dyDescent="0.3">
      <c r="A20" s="5" t="s">
        <v>19</v>
      </c>
      <c r="B20" s="5" t="s">
        <v>41</v>
      </c>
      <c r="C20" s="5">
        <f>SUMIFS(sale[Amount],sale[Geography],B20)</f>
        <v>252469</v>
      </c>
      <c r="D20" s="2" t="s">
        <v>31</v>
      </c>
      <c r="E20" s="2">
        <v>336</v>
      </c>
      <c r="F20" s="2">
        <f>sale[[#This Row],[Amount]]-sale[[#This Row],[Cost]]</f>
        <v>-1070.8799999999999</v>
      </c>
      <c r="G20" s="6">
        <v>1406.8799999999999</v>
      </c>
      <c r="H20" s="2">
        <v>144</v>
      </c>
      <c r="I20" s="2">
        <v>144</v>
      </c>
      <c r="J20" s="4" t="s">
        <v>11</v>
      </c>
      <c r="K20" s="7">
        <v>14.49</v>
      </c>
    </row>
    <row r="21" spans="1:11" x14ac:dyDescent="0.3">
      <c r="A21" s="8" t="s">
        <v>37</v>
      </c>
      <c r="B21" s="8" t="s">
        <v>24</v>
      </c>
      <c r="C21" s="5">
        <f>SUMIFS(sale[Amount],sale[Geography],B21)</f>
        <v>173530</v>
      </c>
      <c r="D21" s="2" t="s">
        <v>34</v>
      </c>
      <c r="E21" s="2">
        <v>9443</v>
      </c>
      <c r="F21" s="2">
        <f>sale[[#This Row],[Amount]]-sale[[#This Row],[Cost]]</f>
        <v>7722.56</v>
      </c>
      <c r="G21" s="2">
        <v>1720.4399999999998</v>
      </c>
      <c r="H21" s="2">
        <v>162</v>
      </c>
      <c r="I21" s="2">
        <v>162</v>
      </c>
      <c r="J21" s="4" t="s">
        <v>30</v>
      </c>
      <c r="K21" s="7">
        <v>5.79</v>
      </c>
    </row>
    <row r="22" spans="1:11" x14ac:dyDescent="0.3">
      <c r="A22" s="5" t="s">
        <v>17</v>
      </c>
      <c r="B22" s="5" t="s">
        <v>41</v>
      </c>
      <c r="C22" s="5">
        <f>SUMIFS(sale[Amount],sale[Geography],B22)</f>
        <v>252469</v>
      </c>
      <c r="D22" s="2" t="s">
        <v>39</v>
      </c>
      <c r="E22" s="2">
        <v>8155</v>
      </c>
      <c r="F22" s="2">
        <f>sale[[#This Row],[Amount]]-sale[[#This Row],[Cost]]</f>
        <v>7570.9</v>
      </c>
      <c r="G22" s="6">
        <v>584.1</v>
      </c>
      <c r="H22" s="2">
        <v>90</v>
      </c>
      <c r="I22" s="2">
        <v>90</v>
      </c>
      <c r="J22" s="4" t="s">
        <v>15</v>
      </c>
      <c r="K22" s="7">
        <v>8.65</v>
      </c>
    </row>
    <row r="23" spans="1:11" x14ac:dyDescent="0.3">
      <c r="A23" s="8" t="s">
        <v>13</v>
      </c>
      <c r="B23" s="8" t="s">
        <v>29</v>
      </c>
      <c r="C23" s="5">
        <f>SUMIFS(sale[Amount],sale[Geography],B23)</f>
        <v>168679</v>
      </c>
      <c r="D23" s="2" t="s">
        <v>39</v>
      </c>
      <c r="E23" s="2">
        <v>1701</v>
      </c>
      <c r="F23" s="2">
        <f>sale[[#This Row],[Amount]]-sale[[#This Row],[Cost]]</f>
        <v>182.33999999999992</v>
      </c>
      <c r="G23" s="2">
        <v>1518.66</v>
      </c>
      <c r="H23" s="2">
        <v>234</v>
      </c>
      <c r="I23" s="2">
        <v>234</v>
      </c>
      <c r="J23" s="4" t="s">
        <v>27</v>
      </c>
      <c r="K23" s="7">
        <v>12.37</v>
      </c>
    </row>
    <row r="24" spans="1:11" x14ac:dyDescent="0.3">
      <c r="A24" s="5" t="s">
        <v>46</v>
      </c>
      <c r="B24" s="5" t="s">
        <v>29</v>
      </c>
      <c r="C24" s="5">
        <f>SUMIFS(sale[Amount],sale[Geography],B24)</f>
        <v>168679</v>
      </c>
      <c r="D24" s="2" t="s">
        <v>31</v>
      </c>
      <c r="E24" s="2">
        <v>2205</v>
      </c>
      <c r="F24" s="2">
        <f>sale[[#This Row],[Amount]]-sale[[#This Row],[Cost]]</f>
        <v>827.43000000000006</v>
      </c>
      <c r="G24" s="6">
        <v>1377.57</v>
      </c>
      <c r="H24" s="2">
        <v>141</v>
      </c>
      <c r="I24" s="2">
        <v>141</v>
      </c>
      <c r="J24" s="4"/>
      <c r="K24" s="4"/>
    </row>
    <row r="25" spans="1:11" x14ac:dyDescent="0.3">
      <c r="A25" s="8" t="s">
        <v>13</v>
      </c>
      <c r="B25" s="8" t="s">
        <v>10</v>
      </c>
      <c r="C25" s="5">
        <f>SUMIFS(sale[Amount],sale[Geography],B25)</f>
        <v>218813</v>
      </c>
      <c r="D25" s="2" t="s">
        <v>32</v>
      </c>
      <c r="E25" s="2">
        <v>1771</v>
      </c>
      <c r="F25" s="2">
        <f>sale[[#This Row],[Amount]]-sale[[#This Row],[Cost]]</f>
        <v>212.44000000000005</v>
      </c>
      <c r="G25" s="2">
        <v>1558.56</v>
      </c>
      <c r="H25" s="2">
        <v>204</v>
      </c>
      <c r="I25" s="2">
        <v>204</v>
      </c>
      <c r="J25" s="4"/>
      <c r="K25" s="4"/>
    </row>
    <row r="26" spans="1:11" x14ac:dyDescent="0.3">
      <c r="A26" s="5" t="s">
        <v>19</v>
      </c>
      <c r="B26" s="5" t="s">
        <v>14</v>
      </c>
      <c r="C26" s="5">
        <f>SUMIFS(sale[Amount],sale[Geography],B26)</f>
        <v>189434</v>
      </c>
      <c r="D26" s="2" t="s">
        <v>22</v>
      </c>
      <c r="E26" s="2">
        <v>2114</v>
      </c>
      <c r="F26" s="2">
        <f>sale[[#This Row],[Amount]]-sale[[#This Row],[Cost]]</f>
        <v>-67.7800000000002</v>
      </c>
      <c r="G26" s="6">
        <v>2181.7800000000002</v>
      </c>
      <c r="H26" s="2">
        <v>186</v>
      </c>
      <c r="I26" s="2">
        <v>186</v>
      </c>
      <c r="J26" s="4"/>
      <c r="K26" s="4"/>
    </row>
    <row r="27" spans="1:11" x14ac:dyDescent="0.3">
      <c r="A27" s="8" t="s">
        <v>19</v>
      </c>
      <c r="B27" s="8" t="s">
        <v>20</v>
      </c>
      <c r="C27" s="5">
        <f>SUMIFS(sale[Amount],sale[Geography],B27)</f>
        <v>237944</v>
      </c>
      <c r="D27" s="2" t="s">
        <v>12</v>
      </c>
      <c r="E27" s="2">
        <v>10311</v>
      </c>
      <c r="F27" s="2">
        <f>sale[[#This Row],[Amount]]-sale[[#This Row],[Cost]]</f>
        <v>8155.77</v>
      </c>
      <c r="G27" s="2">
        <v>2155.23</v>
      </c>
      <c r="H27" s="2">
        <v>231</v>
      </c>
      <c r="I27" s="2">
        <v>231</v>
      </c>
      <c r="J27" s="4"/>
      <c r="K27" s="4"/>
    </row>
    <row r="28" spans="1:11" x14ac:dyDescent="0.3">
      <c r="A28" s="5" t="s">
        <v>38</v>
      </c>
      <c r="B28" s="5" t="s">
        <v>24</v>
      </c>
      <c r="C28" s="5">
        <f>SUMIFS(sale[Amount],sale[Geography],B28)</f>
        <v>173530</v>
      </c>
      <c r="D28" s="2" t="s">
        <v>26</v>
      </c>
      <c r="E28" s="2">
        <v>21</v>
      </c>
      <c r="F28" s="2">
        <f>sale[[#This Row],[Amount]]-sale[[#This Row],[Cost]]</f>
        <v>-1455.7199999999998</v>
      </c>
      <c r="G28" s="6">
        <v>1476.7199999999998</v>
      </c>
      <c r="H28" s="2">
        <v>168</v>
      </c>
      <c r="I28" s="2">
        <v>168</v>
      </c>
      <c r="J28" s="4"/>
      <c r="K28" s="4"/>
    </row>
    <row r="29" spans="1:11" x14ac:dyDescent="0.3">
      <c r="A29" s="8" t="s">
        <v>46</v>
      </c>
      <c r="B29" s="8" t="s">
        <v>14</v>
      </c>
      <c r="C29" s="5">
        <f>SUMIFS(sale[Amount],sale[Geography],B29)</f>
        <v>189434</v>
      </c>
      <c r="D29" s="2" t="s">
        <v>34</v>
      </c>
      <c r="E29" s="2">
        <v>1974</v>
      </c>
      <c r="F29" s="2">
        <f>sale[[#This Row],[Amount]]-sale[[#This Row],[Cost]]</f>
        <v>-96.899999999999636</v>
      </c>
      <c r="G29" s="2">
        <v>2070.8999999999996</v>
      </c>
      <c r="H29" s="2">
        <v>195</v>
      </c>
      <c r="I29" s="2">
        <v>195</v>
      </c>
      <c r="J29" s="4"/>
      <c r="K29" s="4"/>
    </row>
    <row r="30" spans="1:11" x14ac:dyDescent="0.3">
      <c r="A30" s="5" t="s">
        <v>35</v>
      </c>
      <c r="B30" s="5" t="s">
        <v>20</v>
      </c>
      <c r="C30" s="5">
        <f>SUMIFS(sale[Amount],sale[Geography],B30)</f>
        <v>237944</v>
      </c>
      <c r="D30" s="2" t="s">
        <v>39</v>
      </c>
      <c r="E30" s="2">
        <v>6314</v>
      </c>
      <c r="F30" s="2">
        <f>sale[[#This Row],[Amount]]-sale[[#This Row],[Cost]]</f>
        <v>6216.65</v>
      </c>
      <c r="G30" s="6">
        <v>97.350000000000009</v>
      </c>
      <c r="H30" s="2">
        <v>15</v>
      </c>
      <c r="I30" s="2">
        <v>15</v>
      </c>
      <c r="J30" s="4"/>
      <c r="K30" s="4"/>
    </row>
    <row r="31" spans="1:11" x14ac:dyDescent="0.3">
      <c r="A31" s="8" t="s">
        <v>46</v>
      </c>
      <c r="B31" s="8" t="s">
        <v>10</v>
      </c>
      <c r="C31" s="5">
        <f>SUMIFS(sale[Amount],sale[Geography],B31)</f>
        <v>218813</v>
      </c>
      <c r="D31" s="2" t="s">
        <v>39</v>
      </c>
      <c r="E31" s="2">
        <v>4683</v>
      </c>
      <c r="F31" s="2">
        <f>sale[[#This Row],[Amount]]-sale[[#This Row],[Cost]]</f>
        <v>4488.3</v>
      </c>
      <c r="G31" s="2">
        <v>194.70000000000002</v>
      </c>
      <c r="H31" s="2">
        <v>30</v>
      </c>
      <c r="I31" s="2">
        <v>30</v>
      </c>
      <c r="J31" s="4"/>
      <c r="K31" s="4"/>
    </row>
    <row r="32" spans="1:11" x14ac:dyDescent="0.3">
      <c r="A32" s="5" t="s">
        <v>19</v>
      </c>
      <c r="B32" s="5" t="s">
        <v>10</v>
      </c>
      <c r="C32" s="5">
        <f>SUMIFS(sale[Amount],sale[Geography],B32)</f>
        <v>218813</v>
      </c>
      <c r="D32" s="2" t="s">
        <v>40</v>
      </c>
      <c r="E32" s="2">
        <v>6398</v>
      </c>
      <c r="F32" s="2">
        <f>sale[[#This Row],[Amount]]-sale[[#This Row],[Cost]]</f>
        <v>5891.06</v>
      </c>
      <c r="G32" s="6">
        <v>506.94</v>
      </c>
      <c r="H32" s="2">
        <v>102</v>
      </c>
      <c r="I32" s="2">
        <v>102</v>
      </c>
      <c r="J32" s="4"/>
      <c r="K32" s="4"/>
    </row>
    <row r="33" spans="1:11" x14ac:dyDescent="0.3">
      <c r="A33" s="8" t="s">
        <v>37</v>
      </c>
      <c r="B33" s="8" t="s">
        <v>14</v>
      </c>
      <c r="C33" s="5">
        <f>SUMIFS(sale[Amount],sale[Geography],B33)</f>
        <v>189434</v>
      </c>
      <c r="D33" s="2" t="s">
        <v>32</v>
      </c>
      <c r="E33" s="2">
        <v>553</v>
      </c>
      <c r="F33" s="2">
        <f>sale[[#This Row],[Amount]]-sale[[#This Row],[Cost]]</f>
        <v>438.4</v>
      </c>
      <c r="G33" s="2">
        <v>114.6</v>
      </c>
      <c r="H33" s="2">
        <v>15</v>
      </c>
      <c r="I33" s="2">
        <v>15</v>
      </c>
      <c r="J33" s="4"/>
      <c r="K33" s="4"/>
    </row>
    <row r="34" spans="1:11" x14ac:dyDescent="0.3">
      <c r="A34" s="5" t="s">
        <v>13</v>
      </c>
      <c r="B34" s="5" t="s">
        <v>24</v>
      </c>
      <c r="C34" s="5">
        <f>SUMIFS(sale[Amount],sale[Geography],B34)</f>
        <v>173530</v>
      </c>
      <c r="D34" s="2" t="s">
        <v>11</v>
      </c>
      <c r="E34" s="2">
        <v>7021</v>
      </c>
      <c r="F34" s="2">
        <f>sale[[#This Row],[Amount]]-sale[[#This Row],[Cost]]</f>
        <v>4369.33</v>
      </c>
      <c r="G34" s="6">
        <v>2651.67</v>
      </c>
      <c r="H34" s="2">
        <v>183</v>
      </c>
      <c r="I34" s="2">
        <v>183</v>
      </c>
      <c r="J34" s="4"/>
      <c r="K34" s="4"/>
    </row>
    <row r="35" spans="1:11" x14ac:dyDescent="0.3">
      <c r="A35" s="8" t="s">
        <v>9</v>
      </c>
      <c r="B35" s="8" t="s">
        <v>24</v>
      </c>
      <c r="C35" s="5">
        <f>SUMIFS(sale[Amount],sale[Geography],B35)</f>
        <v>173530</v>
      </c>
      <c r="D35" s="2" t="s">
        <v>31</v>
      </c>
      <c r="E35" s="2">
        <v>5817</v>
      </c>
      <c r="F35" s="2">
        <f>sale[[#This Row],[Amount]]-sale[[#This Row],[Cost]]</f>
        <v>5699.76</v>
      </c>
      <c r="G35" s="2">
        <v>117.24</v>
      </c>
      <c r="H35" s="2">
        <v>12</v>
      </c>
      <c r="I35" s="2">
        <v>12</v>
      </c>
      <c r="J35" s="4"/>
      <c r="K35" s="4"/>
    </row>
    <row r="36" spans="1:11" x14ac:dyDescent="0.3">
      <c r="A36" s="5" t="s">
        <v>19</v>
      </c>
      <c r="B36" s="5" t="s">
        <v>24</v>
      </c>
      <c r="C36" s="5">
        <f>SUMIFS(sale[Amount],sale[Geography],B36)</f>
        <v>173530</v>
      </c>
      <c r="D36" s="2" t="s">
        <v>16</v>
      </c>
      <c r="E36" s="2">
        <v>3976</v>
      </c>
      <c r="F36" s="2">
        <f>sale[[#This Row],[Amount]]-sale[[#This Row],[Cost]]</f>
        <v>3133.6</v>
      </c>
      <c r="G36" s="6">
        <v>842.4</v>
      </c>
      <c r="H36" s="2">
        <v>72</v>
      </c>
      <c r="I36" s="2">
        <v>72</v>
      </c>
      <c r="J36" s="4"/>
      <c r="K36" s="4"/>
    </row>
    <row r="37" spans="1:11" x14ac:dyDescent="0.3">
      <c r="A37" s="8" t="s">
        <v>23</v>
      </c>
      <c r="B37" s="8" t="s">
        <v>29</v>
      </c>
      <c r="C37" s="5">
        <f>SUMIFS(sale[Amount],sale[Geography],B37)</f>
        <v>168679</v>
      </c>
      <c r="D37" s="2" t="s">
        <v>44</v>
      </c>
      <c r="E37" s="2">
        <v>1134</v>
      </c>
      <c r="F37" s="2">
        <f>sale[[#This Row],[Amount]]-sale[[#This Row],[Cost]]</f>
        <v>-3583.8599999999997</v>
      </c>
      <c r="G37" s="2">
        <v>4717.8599999999997</v>
      </c>
      <c r="H37" s="2">
        <v>282</v>
      </c>
      <c r="I37" s="2">
        <v>282</v>
      </c>
      <c r="J37" s="4"/>
      <c r="K37" s="4"/>
    </row>
    <row r="38" spans="1:11" x14ac:dyDescent="0.3">
      <c r="A38" s="5" t="s">
        <v>37</v>
      </c>
      <c r="B38" s="5" t="s">
        <v>24</v>
      </c>
      <c r="C38" s="5">
        <f>SUMIFS(sale[Amount],sale[Geography],B38)</f>
        <v>173530</v>
      </c>
      <c r="D38" s="2" t="s">
        <v>45</v>
      </c>
      <c r="E38" s="2">
        <v>6027</v>
      </c>
      <c r="F38" s="2">
        <f>sale[[#This Row],[Amount]]-sale[[#This Row],[Cost]]</f>
        <v>4532.28</v>
      </c>
      <c r="G38" s="6">
        <v>1494.72</v>
      </c>
      <c r="H38" s="2">
        <v>144</v>
      </c>
      <c r="I38" s="2">
        <v>144</v>
      </c>
      <c r="J38" s="4"/>
      <c r="K38" s="4"/>
    </row>
    <row r="39" spans="1:11" x14ac:dyDescent="0.3">
      <c r="A39" s="8" t="s">
        <v>23</v>
      </c>
      <c r="B39" s="8" t="s">
        <v>10</v>
      </c>
      <c r="C39" s="5">
        <f>SUMIFS(sale[Amount],sale[Geography],B39)</f>
        <v>218813</v>
      </c>
      <c r="D39" s="2" t="s">
        <v>26</v>
      </c>
      <c r="E39" s="2">
        <v>1904</v>
      </c>
      <c r="F39" s="2">
        <f>sale[[#This Row],[Amount]]-sale[[#This Row],[Cost]]</f>
        <v>-1655.9499999999998</v>
      </c>
      <c r="G39" s="2">
        <v>3559.95</v>
      </c>
      <c r="H39" s="2">
        <v>405</v>
      </c>
      <c r="I39" s="2">
        <v>405</v>
      </c>
      <c r="J39" s="4"/>
      <c r="K39" s="4"/>
    </row>
    <row r="40" spans="1:11" x14ac:dyDescent="0.3">
      <c r="A40" s="5" t="s">
        <v>33</v>
      </c>
      <c r="B40" s="5" t="s">
        <v>41</v>
      </c>
      <c r="C40" s="5">
        <f>SUMIFS(sale[Amount],sale[Geography],B40)</f>
        <v>252469</v>
      </c>
      <c r="D40" s="2" t="s">
        <v>15</v>
      </c>
      <c r="E40" s="2">
        <v>3262</v>
      </c>
      <c r="F40" s="2">
        <f>sale[[#This Row],[Amount]]-sale[[#This Row],[Cost]]</f>
        <v>2613.25</v>
      </c>
      <c r="G40" s="6">
        <v>648.75</v>
      </c>
      <c r="H40" s="2">
        <v>75</v>
      </c>
      <c r="I40" s="2">
        <v>75</v>
      </c>
      <c r="J40" s="4"/>
      <c r="K40" s="4"/>
    </row>
    <row r="41" spans="1:11" x14ac:dyDescent="0.3">
      <c r="A41" s="8" t="s">
        <v>9</v>
      </c>
      <c r="B41" s="8" t="s">
        <v>41</v>
      </c>
      <c r="C41" s="5">
        <f>SUMIFS(sale[Amount],sale[Geography],B41)</f>
        <v>252469</v>
      </c>
      <c r="D41" s="2" t="s">
        <v>44</v>
      </c>
      <c r="E41" s="2">
        <v>2289</v>
      </c>
      <c r="F41" s="2">
        <f>sale[[#This Row],[Amount]]-sale[[#This Row],[Cost]]</f>
        <v>30.449999999999818</v>
      </c>
      <c r="G41" s="2">
        <v>2258.5500000000002</v>
      </c>
      <c r="H41" s="2">
        <v>135</v>
      </c>
      <c r="I41" s="2">
        <v>135</v>
      </c>
      <c r="J41" s="4"/>
      <c r="K41" s="4"/>
    </row>
    <row r="42" spans="1:11" x14ac:dyDescent="0.3">
      <c r="A42" s="5" t="s">
        <v>35</v>
      </c>
      <c r="B42" s="5" t="s">
        <v>41</v>
      </c>
      <c r="C42" s="5">
        <f>SUMIFS(sale[Amount],sale[Geography],B42)</f>
        <v>252469</v>
      </c>
      <c r="D42" s="2" t="s">
        <v>44</v>
      </c>
      <c r="E42" s="2">
        <v>6986</v>
      </c>
      <c r="F42" s="2">
        <f>sale[[#This Row],[Amount]]-sale[[#This Row],[Cost]]</f>
        <v>6634.67</v>
      </c>
      <c r="G42" s="6">
        <v>351.33</v>
      </c>
      <c r="H42" s="2">
        <v>21</v>
      </c>
      <c r="I42" s="2">
        <v>21</v>
      </c>
      <c r="J42" s="4"/>
      <c r="K42" s="4"/>
    </row>
    <row r="43" spans="1:11" x14ac:dyDescent="0.3">
      <c r="A43" s="8" t="s">
        <v>37</v>
      </c>
      <c r="B43" s="8" t="s">
        <v>29</v>
      </c>
      <c r="C43" s="5">
        <f>SUMIFS(sale[Amount],sale[Geography],B43)</f>
        <v>168679</v>
      </c>
      <c r="D43" s="2" t="s">
        <v>39</v>
      </c>
      <c r="E43" s="2">
        <v>4417</v>
      </c>
      <c r="F43" s="2">
        <f>sale[[#This Row],[Amount]]-sale[[#This Row],[Cost]]</f>
        <v>3424.0299999999997</v>
      </c>
      <c r="G43" s="2">
        <v>992.97</v>
      </c>
      <c r="H43" s="2">
        <v>153</v>
      </c>
      <c r="I43" s="2">
        <v>153</v>
      </c>
      <c r="J43" s="4"/>
      <c r="K43" s="4"/>
    </row>
    <row r="44" spans="1:11" x14ac:dyDescent="0.3">
      <c r="A44" s="5" t="s">
        <v>23</v>
      </c>
      <c r="B44" s="5" t="s">
        <v>41</v>
      </c>
      <c r="C44" s="5">
        <f>SUMIFS(sale[Amount],sale[Geography],B44)</f>
        <v>252469</v>
      </c>
      <c r="D44" s="2" t="s">
        <v>22</v>
      </c>
      <c r="E44" s="2">
        <v>1442</v>
      </c>
      <c r="F44" s="2">
        <f>sale[[#This Row],[Amount]]-sale[[#This Row],[Cost]]</f>
        <v>1266.05</v>
      </c>
      <c r="G44" s="6">
        <v>175.95000000000002</v>
      </c>
      <c r="H44" s="2">
        <v>15</v>
      </c>
      <c r="I44" s="2">
        <v>15</v>
      </c>
      <c r="J44" s="4"/>
      <c r="K44" s="4"/>
    </row>
    <row r="45" spans="1:11" x14ac:dyDescent="0.3">
      <c r="A45" s="8" t="s">
        <v>38</v>
      </c>
      <c r="B45" s="8" t="s">
        <v>14</v>
      </c>
      <c r="C45" s="5">
        <f>SUMIFS(sale[Amount],sale[Geography],B45)</f>
        <v>189434</v>
      </c>
      <c r="D45" s="2" t="s">
        <v>16</v>
      </c>
      <c r="E45" s="2">
        <v>2415</v>
      </c>
      <c r="F45" s="2">
        <f>sale[[#This Row],[Amount]]-sale[[#This Row],[Cost]]</f>
        <v>-568.5</v>
      </c>
      <c r="G45" s="2">
        <v>2983.5</v>
      </c>
      <c r="H45" s="2">
        <v>255</v>
      </c>
      <c r="I45" s="2">
        <v>255</v>
      </c>
      <c r="J45" s="4"/>
      <c r="K45" s="4"/>
    </row>
    <row r="46" spans="1:11" x14ac:dyDescent="0.3">
      <c r="A46" s="5" t="s">
        <v>37</v>
      </c>
      <c r="B46" s="5" t="s">
        <v>10</v>
      </c>
      <c r="C46" s="5">
        <f>SUMIFS(sale[Amount],sale[Geography],B46)</f>
        <v>218813</v>
      </c>
      <c r="D46" s="2" t="s">
        <v>32</v>
      </c>
      <c r="E46" s="2">
        <v>238</v>
      </c>
      <c r="F46" s="2">
        <f>sale[[#This Row],[Amount]]-sale[[#This Row],[Cost]]</f>
        <v>100.48000000000002</v>
      </c>
      <c r="G46" s="6">
        <v>137.51999999999998</v>
      </c>
      <c r="H46" s="2">
        <v>18</v>
      </c>
      <c r="I46" s="2">
        <v>18</v>
      </c>
      <c r="J46" s="4"/>
      <c r="K46" s="4"/>
    </row>
    <row r="47" spans="1:11" x14ac:dyDescent="0.3">
      <c r="A47" s="8" t="s">
        <v>23</v>
      </c>
      <c r="B47" s="8" t="s">
        <v>10</v>
      </c>
      <c r="C47" s="5">
        <f>SUMIFS(sale[Amount],sale[Geography],B47)</f>
        <v>218813</v>
      </c>
      <c r="D47" s="2" t="s">
        <v>39</v>
      </c>
      <c r="E47" s="2">
        <v>4949</v>
      </c>
      <c r="F47" s="2">
        <f>sale[[#This Row],[Amount]]-sale[[#This Row],[Cost]]</f>
        <v>3722.39</v>
      </c>
      <c r="G47" s="2">
        <v>1226.6100000000001</v>
      </c>
      <c r="H47" s="2">
        <v>189</v>
      </c>
      <c r="I47" s="2">
        <v>189</v>
      </c>
      <c r="J47" s="4"/>
      <c r="K47" s="4"/>
    </row>
    <row r="48" spans="1:11" x14ac:dyDescent="0.3">
      <c r="A48" s="5" t="s">
        <v>35</v>
      </c>
      <c r="B48" s="5" t="s">
        <v>29</v>
      </c>
      <c r="C48" s="5">
        <f>SUMIFS(sale[Amount],sale[Geography],B48)</f>
        <v>168679</v>
      </c>
      <c r="D48" s="2" t="s">
        <v>15</v>
      </c>
      <c r="E48" s="2">
        <v>5075</v>
      </c>
      <c r="F48" s="2">
        <f>sale[[#This Row],[Amount]]-sale[[#This Row],[Cost]]</f>
        <v>4893.3500000000004</v>
      </c>
      <c r="G48" s="6">
        <v>181.65</v>
      </c>
      <c r="H48" s="2">
        <v>21</v>
      </c>
      <c r="I48" s="2">
        <v>21</v>
      </c>
      <c r="J48" s="4"/>
      <c r="K48" s="4"/>
    </row>
    <row r="49" spans="1:11" x14ac:dyDescent="0.3">
      <c r="A49" s="8" t="s">
        <v>38</v>
      </c>
      <c r="B49" s="8" t="s">
        <v>20</v>
      </c>
      <c r="C49" s="5">
        <f>SUMIFS(sale[Amount],sale[Geography],B49)</f>
        <v>237944</v>
      </c>
      <c r="D49" s="2" t="s">
        <v>26</v>
      </c>
      <c r="E49" s="2">
        <v>9198</v>
      </c>
      <c r="F49" s="2">
        <f>sale[[#This Row],[Amount]]-sale[[#This Row],[Cost]]</f>
        <v>8881.56</v>
      </c>
      <c r="G49" s="2">
        <v>316.43999999999994</v>
      </c>
      <c r="H49" s="2">
        <v>36</v>
      </c>
      <c r="I49" s="2">
        <v>36</v>
      </c>
      <c r="J49" s="4"/>
      <c r="K49" s="4"/>
    </row>
    <row r="50" spans="1:11" x14ac:dyDescent="0.3">
      <c r="A50" s="5" t="s">
        <v>23</v>
      </c>
      <c r="B50" s="5" t="s">
        <v>41</v>
      </c>
      <c r="C50" s="5">
        <f>SUMIFS(sale[Amount],sale[Geography],B50)</f>
        <v>252469</v>
      </c>
      <c r="D50" s="2" t="s">
        <v>43</v>
      </c>
      <c r="E50" s="2">
        <v>3339</v>
      </c>
      <c r="F50" s="2">
        <f>sale[[#This Row],[Amount]]-sale[[#This Row],[Cost]]</f>
        <v>2802</v>
      </c>
      <c r="G50" s="6">
        <v>537</v>
      </c>
      <c r="H50" s="2">
        <v>75</v>
      </c>
      <c r="I50" s="2">
        <v>75</v>
      </c>
      <c r="J50" s="4"/>
      <c r="K50" s="4"/>
    </row>
    <row r="51" spans="1:11" x14ac:dyDescent="0.3">
      <c r="A51" s="8" t="s">
        <v>9</v>
      </c>
      <c r="B51" s="8" t="s">
        <v>41</v>
      </c>
      <c r="C51" s="5">
        <f>SUMIFS(sale[Amount],sale[Geography],B51)</f>
        <v>252469</v>
      </c>
      <c r="D51" s="2" t="s">
        <v>28</v>
      </c>
      <c r="E51" s="2">
        <v>5019</v>
      </c>
      <c r="F51" s="2">
        <f>sale[[#This Row],[Amount]]-sale[[#This Row],[Cost]]</f>
        <v>4533.84</v>
      </c>
      <c r="G51" s="2">
        <v>485.15999999999997</v>
      </c>
      <c r="H51" s="2">
        <v>156</v>
      </c>
      <c r="I51" s="2">
        <v>156</v>
      </c>
      <c r="J51" s="4"/>
      <c r="K51" s="4"/>
    </row>
    <row r="52" spans="1:11" x14ac:dyDescent="0.3">
      <c r="A52" s="5" t="s">
        <v>35</v>
      </c>
      <c r="B52" s="5" t="s">
        <v>20</v>
      </c>
      <c r="C52" s="5">
        <f>SUMIFS(sale[Amount],sale[Geography],B52)</f>
        <v>237944</v>
      </c>
      <c r="D52" s="2" t="s">
        <v>26</v>
      </c>
      <c r="E52" s="2">
        <v>16184</v>
      </c>
      <c r="F52" s="2">
        <f>sale[[#This Row],[Amount]]-sale[[#This Row],[Cost]]</f>
        <v>15841.19</v>
      </c>
      <c r="G52" s="6">
        <v>342.80999999999995</v>
      </c>
      <c r="H52" s="2">
        <v>39</v>
      </c>
      <c r="I52" s="2">
        <v>39</v>
      </c>
      <c r="J52" s="4"/>
      <c r="K52" s="4"/>
    </row>
    <row r="53" spans="1:11" x14ac:dyDescent="0.3">
      <c r="A53" s="8" t="s">
        <v>23</v>
      </c>
      <c r="B53" s="8" t="s">
        <v>20</v>
      </c>
      <c r="C53" s="5">
        <f>SUMIFS(sale[Amount],sale[Geography],B53)</f>
        <v>237944</v>
      </c>
      <c r="D53" s="2" t="s">
        <v>36</v>
      </c>
      <c r="E53" s="2">
        <v>497</v>
      </c>
      <c r="F53" s="2">
        <f>sale[[#This Row],[Amount]]-sale[[#This Row],[Cost]]</f>
        <v>-70</v>
      </c>
      <c r="G53" s="2">
        <v>567</v>
      </c>
      <c r="H53" s="2">
        <v>63</v>
      </c>
      <c r="I53" s="2">
        <v>63</v>
      </c>
      <c r="J53" s="4"/>
      <c r="K53" s="4"/>
    </row>
    <row r="54" spans="1:11" x14ac:dyDescent="0.3">
      <c r="A54" s="5" t="s">
        <v>37</v>
      </c>
      <c r="B54" s="5" t="s">
        <v>20</v>
      </c>
      <c r="C54" s="5">
        <f>SUMIFS(sale[Amount],sale[Geography],B54)</f>
        <v>237944</v>
      </c>
      <c r="D54" s="2" t="s">
        <v>43</v>
      </c>
      <c r="E54" s="2">
        <v>8211</v>
      </c>
      <c r="F54" s="2">
        <f>sale[[#This Row],[Amount]]-sale[[#This Row],[Cost]]</f>
        <v>7674</v>
      </c>
      <c r="G54" s="6">
        <v>537</v>
      </c>
      <c r="H54" s="2">
        <v>75</v>
      </c>
      <c r="I54" s="2">
        <v>75</v>
      </c>
      <c r="J54" s="4"/>
      <c r="K54" s="4"/>
    </row>
    <row r="55" spans="1:11" x14ac:dyDescent="0.3">
      <c r="A55" s="8" t="s">
        <v>37</v>
      </c>
      <c r="B55" s="8" t="s">
        <v>29</v>
      </c>
      <c r="C55" s="5">
        <f>SUMIFS(sale[Amount],sale[Geography],B55)</f>
        <v>168679</v>
      </c>
      <c r="D55" s="2" t="s">
        <v>45</v>
      </c>
      <c r="E55" s="2">
        <v>6580</v>
      </c>
      <c r="F55" s="2">
        <f>sale[[#This Row],[Amount]]-sale[[#This Row],[Cost]]</f>
        <v>4680.46</v>
      </c>
      <c r="G55" s="2">
        <v>1899.5400000000002</v>
      </c>
      <c r="H55" s="2">
        <v>183</v>
      </c>
      <c r="I55" s="2">
        <v>183</v>
      </c>
      <c r="J55" s="4"/>
      <c r="K55" s="4"/>
    </row>
    <row r="56" spans="1:11" x14ac:dyDescent="0.3">
      <c r="A56" s="5" t="s">
        <v>19</v>
      </c>
      <c r="B56" s="5" t="s">
        <v>14</v>
      </c>
      <c r="C56" s="5">
        <f>SUMIFS(sale[Amount],sale[Geography],B56)</f>
        <v>189434</v>
      </c>
      <c r="D56" s="2" t="s">
        <v>12</v>
      </c>
      <c r="E56" s="2">
        <v>4760</v>
      </c>
      <c r="F56" s="2">
        <f>sale[[#This Row],[Amount]]-sale[[#This Row],[Cost]]</f>
        <v>4116.2299999999996</v>
      </c>
      <c r="G56" s="6">
        <v>643.77</v>
      </c>
      <c r="H56" s="2">
        <v>69</v>
      </c>
      <c r="I56" s="2">
        <v>69</v>
      </c>
      <c r="J56" s="4"/>
      <c r="K56" s="4"/>
    </row>
    <row r="57" spans="1:11" x14ac:dyDescent="0.3">
      <c r="A57" s="8" t="s">
        <v>9</v>
      </c>
      <c r="B57" s="8" t="s">
        <v>20</v>
      </c>
      <c r="C57" s="5">
        <f>SUMIFS(sale[Amount],sale[Geography],B57)</f>
        <v>237944</v>
      </c>
      <c r="D57" s="2" t="s">
        <v>25</v>
      </c>
      <c r="E57" s="2">
        <v>5439</v>
      </c>
      <c r="F57" s="2">
        <f>sale[[#This Row],[Amount]]-sale[[#This Row],[Cost]]</f>
        <v>5044.5</v>
      </c>
      <c r="G57" s="2">
        <v>394.5</v>
      </c>
      <c r="H57" s="2">
        <v>30</v>
      </c>
      <c r="I57" s="2">
        <v>30</v>
      </c>
      <c r="J57" s="4"/>
      <c r="K57" s="4"/>
    </row>
    <row r="58" spans="1:11" x14ac:dyDescent="0.3">
      <c r="A58" s="5" t="s">
        <v>19</v>
      </c>
      <c r="B58" s="5" t="s">
        <v>41</v>
      </c>
      <c r="C58" s="5">
        <f>SUMIFS(sale[Amount],sale[Geography],B58)</f>
        <v>252469</v>
      </c>
      <c r="D58" s="2" t="s">
        <v>28</v>
      </c>
      <c r="E58" s="2">
        <v>1463</v>
      </c>
      <c r="F58" s="2">
        <f>sale[[#This Row],[Amount]]-sale[[#This Row],[Cost]]</f>
        <v>1341.71</v>
      </c>
      <c r="G58" s="6">
        <v>121.28999999999999</v>
      </c>
      <c r="H58" s="2">
        <v>39</v>
      </c>
      <c r="I58" s="2">
        <v>39</v>
      </c>
      <c r="J58" s="4"/>
      <c r="K58" s="4"/>
    </row>
    <row r="59" spans="1:11" x14ac:dyDescent="0.3">
      <c r="A59" s="8" t="s">
        <v>38</v>
      </c>
      <c r="B59" s="8" t="s">
        <v>41</v>
      </c>
      <c r="C59" s="5">
        <f>SUMIFS(sale[Amount],sale[Geography],B59)</f>
        <v>252469</v>
      </c>
      <c r="D59" s="2" t="s">
        <v>15</v>
      </c>
      <c r="E59" s="2">
        <v>7777</v>
      </c>
      <c r="F59" s="2">
        <f>sale[[#This Row],[Amount]]-sale[[#This Row],[Cost]]</f>
        <v>3417.3999999999996</v>
      </c>
      <c r="G59" s="2">
        <v>4359.6000000000004</v>
      </c>
      <c r="H59" s="2">
        <v>504</v>
      </c>
      <c r="I59" s="2">
        <v>504</v>
      </c>
      <c r="J59" s="4"/>
      <c r="K59" s="4"/>
    </row>
    <row r="60" spans="1:11" x14ac:dyDescent="0.3">
      <c r="A60" s="5" t="s">
        <v>17</v>
      </c>
      <c r="B60" s="5" t="s">
        <v>10</v>
      </c>
      <c r="C60" s="5">
        <f>SUMIFS(sale[Amount],sale[Geography],B60)</f>
        <v>218813</v>
      </c>
      <c r="D60" s="2" t="s">
        <v>43</v>
      </c>
      <c r="E60" s="2">
        <v>1085</v>
      </c>
      <c r="F60" s="2">
        <f>sale[[#This Row],[Amount]]-sale[[#This Row],[Cost]]</f>
        <v>-869.68000000000006</v>
      </c>
      <c r="G60" s="6">
        <v>1954.68</v>
      </c>
      <c r="H60" s="2">
        <v>273</v>
      </c>
      <c r="I60" s="2">
        <v>273</v>
      </c>
      <c r="J60" s="4"/>
      <c r="K60" s="4"/>
    </row>
    <row r="61" spans="1:11" x14ac:dyDescent="0.3">
      <c r="A61" s="8" t="s">
        <v>35</v>
      </c>
      <c r="B61" s="8" t="s">
        <v>10</v>
      </c>
      <c r="C61" s="5">
        <f>SUMIFS(sale[Amount],sale[Geography],B61)</f>
        <v>218813</v>
      </c>
      <c r="D61" s="2" t="s">
        <v>30</v>
      </c>
      <c r="E61" s="2">
        <v>182</v>
      </c>
      <c r="F61" s="2">
        <f>sale[[#This Row],[Amount]]-sale[[#This Row],[Cost]]</f>
        <v>-95.920000000000016</v>
      </c>
      <c r="G61" s="2">
        <v>277.92</v>
      </c>
      <c r="H61" s="2">
        <v>48</v>
      </c>
      <c r="I61" s="2">
        <v>48</v>
      </c>
      <c r="J61" s="4"/>
      <c r="K61" s="4"/>
    </row>
    <row r="62" spans="1:11" x14ac:dyDescent="0.3">
      <c r="A62" s="5" t="s">
        <v>23</v>
      </c>
      <c r="B62" s="5" t="s">
        <v>41</v>
      </c>
      <c r="C62" s="5">
        <f>SUMIFS(sale[Amount],sale[Geography],B62)</f>
        <v>252469</v>
      </c>
      <c r="D62" s="2" t="s">
        <v>44</v>
      </c>
      <c r="E62" s="2">
        <v>4242</v>
      </c>
      <c r="F62" s="2">
        <f>sale[[#This Row],[Amount]]-sale[[#This Row],[Cost]]</f>
        <v>778.88999999999987</v>
      </c>
      <c r="G62" s="6">
        <v>3463.11</v>
      </c>
      <c r="H62" s="2">
        <v>207</v>
      </c>
      <c r="I62" s="2">
        <v>207</v>
      </c>
      <c r="J62" s="4"/>
      <c r="K62" s="4"/>
    </row>
    <row r="63" spans="1:11" x14ac:dyDescent="0.3">
      <c r="A63" s="8" t="s">
        <v>23</v>
      </c>
      <c r="B63" s="8" t="s">
        <v>20</v>
      </c>
      <c r="C63" s="5">
        <f>SUMIFS(sale[Amount],sale[Geography],B63)</f>
        <v>237944</v>
      </c>
      <c r="D63" s="2" t="s">
        <v>15</v>
      </c>
      <c r="E63" s="2">
        <v>6118</v>
      </c>
      <c r="F63" s="2">
        <f>sale[[#This Row],[Amount]]-sale[[#This Row],[Cost]]</f>
        <v>6040.15</v>
      </c>
      <c r="G63" s="2">
        <v>77.850000000000009</v>
      </c>
      <c r="H63" s="2">
        <v>9</v>
      </c>
      <c r="I63" s="2">
        <v>9</v>
      </c>
      <c r="J63" s="4"/>
      <c r="K63" s="4"/>
    </row>
    <row r="64" spans="1:11" x14ac:dyDescent="0.3">
      <c r="A64" s="5" t="s">
        <v>46</v>
      </c>
      <c r="B64" s="5" t="s">
        <v>20</v>
      </c>
      <c r="C64" s="5">
        <f>SUMIFS(sale[Amount],sale[Geography],B64)</f>
        <v>237944</v>
      </c>
      <c r="D64" s="2" t="s">
        <v>39</v>
      </c>
      <c r="E64" s="2">
        <v>2317</v>
      </c>
      <c r="F64" s="2">
        <f>sale[[#This Row],[Amount]]-sale[[#This Row],[Cost]]</f>
        <v>623.1099999999999</v>
      </c>
      <c r="G64" s="6">
        <v>1693.89</v>
      </c>
      <c r="H64" s="2">
        <v>261</v>
      </c>
      <c r="I64" s="2">
        <v>261</v>
      </c>
      <c r="J64" s="4"/>
      <c r="K64" s="4"/>
    </row>
    <row r="65" spans="1:11" x14ac:dyDescent="0.3">
      <c r="A65" s="8" t="s">
        <v>23</v>
      </c>
      <c r="B65" s="8" t="s">
        <v>29</v>
      </c>
      <c r="C65" s="5">
        <f>SUMIFS(sale[Amount],sale[Geography],B65)</f>
        <v>168679</v>
      </c>
      <c r="D65" s="2" t="s">
        <v>26</v>
      </c>
      <c r="E65" s="2">
        <v>938</v>
      </c>
      <c r="F65" s="2">
        <f>sale[[#This Row],[Amount]]-sale[[#This Row],[Cost]]</f>
        <v>885.26</v>
      </c>
      <c r="G65" s="2">
        <v>52.739999999999995</v>
      </c>
      <c r="H65" s="2">
        <v>6</v>
      </c>
      <c r="I65" s="2">
        <v>6</v>
      </c>
      <c r="J65" s="4"/>
      <c r="K65" s="4"/>
    </row>
    <row r="66" spans="1:11" x14ac:dyDescent="0.3">
      <c r="A66" s="5" t="s">
        <v>13</v>
      </c>
      <c r="B66" s="5" t="s">
        <v>10</v>
      </c>
      <c r="C66" s="5">
        <f>SUMIFS(sale[Amount],sale[Geography],B66)</f>
        <v>218813</v>
      </c>
      <c r="D66" s="2" t="s">
        <v>22</v>
      </c>
      <c r="E66" s="2">
        <v>9709</v>
      </c>
      <c r="F66" s="2">
        <f>sale[[#This Row],[Amount]]-sale[[#This Row],[Cost]]</f>
        <v>9357.1</v>
      </c>
      <c r="G66" s="6">
        <v>351.90000000000003</v>
      </c>
      <c r="H66" s="2">
        <v>30</v>
      </c>
      <c r="I66" s="2">
        <v>30</v>
      </c>
      <c r="J66" s="4"/>
      <c r="K66" s="4"/>
    </row>
    <row r="67" spans="1:11" x14ac:dyDescent="0.3">
      <c r="A67" s="8" t="s">
        <v>33</v>
      </c>
      <c r="B67" s="8" t="s">
        <v>41</v>
      </c>
      <c r="C67" s="5">
        <f>SUMIFS(sale[Amount],sale[Geography],B67)</f>
        <v>252469</v>
      </c>
      <c r="D67" s="2" t="s">
        <v>34</v>
      </c>
      <c r="E67" s="2">
        <v>2205</v>
      </c>
      <c r="F67" s="2">
        <f>sale[[#This Row],[Amount]]-sale[[#This Row],[Cost]]</f>
        <v>739.44</v>
      </c>
      <c r="G67" s="2">
        <v>1465.56</v>
      </c>
      <c r="H67" s="2">
        <v>138</v>
      </c>
      <c r="I67" s="2">
        <v>138</v>
      </c>
      <c r="J67" s="4"/>
      <c r="K67" s="4"/>
    </row>
    <row r="68" spans="1:11" x14ac:dyDescent="0.3">
      <c r="A68" s="5" t="s">
        <v>33</v>
      </c>
      <c r="B68" s="5" t="s">
        <v>10</v>
      </c>
      <c r="C68" s="5">
        <f>SUMIFS(sale[Amount],sale[Geography],B68)</f>
        <v>218813</v>
      </c>
      <c r="D68" s="2" t="s">
        <v>28</v>
      </c>
      <c r="E68" s="2">
        <v>4487</v>
      </c>
      <c r="F68" s="2">
        <f>sale[[#This Row],[Amount]]-sale[[#This Row],[Cost]]</f>
        <v>4141.79</v>
      </c>
      <c r="G68" s="6">
        <v>345.21</v>
      </c>
      <c r="H68" s="2">
        <v>111</v>
      </c>
      <c r="I68" s="2">
        <v>111</v>
      </c>
      <c r="J68" s="4"/>
      <c r="K68" s="4"/>
    </row>
    <row r="69" spans="1:11" x14ac:dyDescent="0.3">
      <c r="A69" s="8" t="s">
        <v>35</v>
      </c>
      <c r="B69" s="8" t="s">
        <v>14</v>
      </c>
      <c r="C69" s="5">
        <f>SUMIFS(sale[Amount],sale[Geography],B69)</f>
        <v>189434</v>
      </c>
      <c r="D69" s="2" t="s">
        <v>21</v>
      </c>
      <c r="E69" s="2">
        <v>2415</v>
      </c>
      <c r="F69" s="2">
        <f>sale[[#This Row],[Amount]]-sale[[#This Row],[Cost]]</f>
        <v>2317.9499999999998</v>
      </c>
      <c r="G69" s="2">
        <v>97.05</v>
      </c>
      <c r="H69" s="2">
        <v>15</v>
      </c>
      <c r="I69" s="2">
        <v>15</v>
      </c>
      <c r="J69" s="4"/>
      <c r="K69" s="4"/>
    </row>
    <row r="70" spans="1:11" x14ac:dyDescent="0.3">
      <c r="A70" s="5" t="s">
        <v>9</v>
      </c>
      <c r="B70" s="5" t="s">
        <v>41</v>
      </c>
      <c r="C70" s="5">
        <f>SUMIFS(sale[Amount],sale[Geography],B70)</f>
        <v>252469</v>
      </c>
      <c r="D70" s="2" t="s">
        <v>32</v>
      </c>
      <c r="E70" s="2">
        <v>4018</v>
      </c>
      <c r="F70" s="2">
        <f>sale[[#This Row],[Amount]]-sale[[#This Row],[Cost]]</f>
        <v>2780.32</v>
      </c>
      <c r="G70" s="6">
        <v>1237.6799999999998</v>
      </c>
      <c r="H70" s="2">
        <v>162</v>
      </c>
      <c r="I70" s="2">
        <v>162</v>
      </c>
      <c r="J70" s="4"/>
      <c r="K70" s="4"/>
    </row>
    <row r="71" spans="1:11" x14ac:dyDescent="0.3">
      <c r="A71" s="8" t="s">
        <v>35</v>
      </c>
      <c r="B71" s="8" t="s">
        <v>41</v>
      </c>
      <c r="C71" s="5">
        <f>SUMIFS(sale[Amount],sale[Geography],B71)</f>
        <v>252469</v>
      </c>
      <c r="D71" s="2" t="s">
        <v>32</v>
      </c>
      <c r="E71" s="2">
        <v>861</v>
      </c>
      <c r="F71" s="2">
        <f>sale[[#This Row],[Amount]]-sale[[#This Row],[Cost]]</f>
        <v>-628.79999999999995</v>
      </c>
      <c r="G71" s="2">
        <v>1489.8</v>
      </c>
      <c r="H71" s="2">
        <v>195</v>
      </c>
      <c r="I71" s="2">
        <v>195</v>
      </c>
      <c r="J71" s="4"/>
      <c r="K71" s="4"/>
    </row>
    <row r="72" spans="1:11" x14ac:dyDescent="0.3">
      <c r="A72" s="5" t="s">
        <v>46</v>
      </c>
      <c r="B72" s="5" t="s">
        <v>29</v>
      </c>
      <c r="C72" s="5">
        <f>SUMIFS(sale[Amount],sale[Geography],B72)</f>
        <v>168679</v>
      </c>
      <c r="D72" s="2" t="s">
        <v>16</v>
      </c>
      <c r="E72" s="2">
        <v>5586</v>
      </c>
      <c r="F72" s="2">
        <f>sale[[#This Row],[Amount]]-sale[[#This Row],[Cost]]</f>
        <v>-556.5</v>
      </c>
      <c r="G72" s="6">
        <v>6142.5</v>
      </c>
      <c r="H72" s="2">
        <v>525</v>
      </c>
      <c r="I72" s="2">
        <v>525</v>
      </c>
      <c r="J72" s="4"/>
      <c r="K72" s="4"/>
    </row>
    <row r="73" spans="1:11" x14ac:dyDescent="0.3">
      <c r="A73" s="8" t="s">
        <v>33</v>
      </c>
      <c r="B73" s="8" t="s">
        <v>41</v>
      </c>
      <c r="C73" s="5">
        <f>SUMIFS(sale[Amount],sale[Geography],B73)</f>
        <v>252469</v>
      </c>
      <c r="D73" s="2" t="s">
        <v>27</v>
      </c>
      <c r="E73" s="2">
        <v>2226</v>
      </c>
      <c r="F73" s="2">
        <f>sale[[#This Row],[Amount]]-sale[[#This Row],[Cost]]</f>
        <v>1632.24</v>
      </c>
      <c r="G73" s="2">
        <v>593.76</v>
      </c>
      <c r="H73" s="2">
        <v>48</v>
      </c>
      <c r="I73" s="2">
        <v>48</v>
      </c>
      <c r="J73" s="4"/>
      <c r="K73" s="4"/>
    </row>
    <row r="74" spans="1:11" x14ac:dyDescent="0.3">
      <c r="A74" s="5" t="s">
        <v>17</v>
      </c>
      <c r="B74" s="5" t="s">
        <v>41</v>
      </c>
      <c r="C74" s="5">
        <f>SUMIFS(sale[Amount],sale[Geography],B74)</f>
        <v>252469</v>
      </c>
      <c r="D74" s="2" t="s">
        <v>45</v>
      </c>
      <c r="E74" s="2">
        <v>14329</v>
      </c>
      <c r="F74" s="2">
        <f>sale[[#This Row],[Amount]]-sale[[#This Row],[Cost]]</f>
        <v>12772</v>
      </c>
      <c r="G74" s="6">
        <v>1557.0000000000002</v>
      </c>
      <c r="H74" s="2">
        <v>150</v>
      </c>
      <c r="I74" s="2">
        <v>150</v>
      </c>
      <c r="J74" s="4"/>
      <c r="K74" s="4"/>
    </row>
    <row r="75" spans="1:11" x14ac:dyDescent="0.3">
      <c r="A75" s="8" t="s">
        <v>17</v>
      </c>
      <c r="B75" s="8" t="s">
        <v>41</v>
      </c>
      <c r="C75" s="5">
        <f>SUMIFS(sale[Amount],sale[Geography],B75)</f>
        <v>252469</v>
      </c>
      <c r="D75" s="2" t="s">
        <v>34</v>
      </c>
      <c r="E75" s="2">
        <v>8463</v>
      </c>
      <c r="F75" s="2">
        <f>sale[[#This Row],[Amount]]-sale[[#This Row],[Cost]]</f>
        <v>3237.96</v>
      </c>
      <c r="G75" s="2">
        <v>5225.04</v>
      </c>
      <c r="H75" s="2">
        <v>492</v>
      </c>
      <c r="I75" s="2">
        <v>492</v>
      </c>
      <c r="J75" s="4"/>
      <c r="K75" s="4"/>
    </row>
    <row r="76" spans="1:11" x14ac:dyDescent="0.3">
      <c r="A76" s="5" t="s">
        <v>35</v>
      </c>
      <c r="B76" s="5" t="s">
        <v>41</v>
      </c>
      <c r="C76" s="5">
        <f>SUMIFS(sale[Amount],sale[Geography],B76)</f>
        <v>252469</v>
      </c>
      <c r="D76" s="2" t="s">
        <v>43</v>
      </c>
      <c r="E76" s="2">
        <v>2891</v>
      </c>
      <c r="F76" s="2">
        <f>sale[[#This Row],[Amount]]-sale[[#This Row],[Cost]]</f>
        <v>2160.6799999999998</v>
      </c>
      <c r="G76" s="6">
        <v>730.32</v>
      </c>
      <c r="H76" s="2">
        <v>102</v>
      </c>
      <c r="I76" s="2">
        <v>102</v>
      </c>
      <c r="J76" s="4"/>
      <c r="K76" s="4"/>
    </row>
    <row r="77" spans="1:11" x14ac:dyDescent="0.3">
      <c r="A77" s="8" t="s">
        <v>38</v>
      </c>
      <c r="B77" s="8" t="s">
        <v>20</v>
      </c>
      <c r="C77" s="5">
        <f>SUMIFS(sale[Amount],sale[Geography],B77)</f>
        <v>237944</v>
      </c>
      <c r="D77" s="2" t="s">
        <v>39</v>
      </c>
      <c r="E77" s="2">
        <v>3773</v>
      </c>
      <c r="F77" s="2">
        <f>sale[[#This Row],[Amount]]-sale[[#This Row],[Cost]]</f>
        <v>2702.1499999999996</v>
      </c>
      <c r="G77" s="2">
        <v>1070.8500000000001</v>
      </c>
      <c r="H77" s="2">
        <v>165</v>
      </c>
      <c r="I77" s="2">
        <v>165</v>
      </c>
      <c r="J77" s="4"/>
      <c r="K77" s="4"/>
    </row>
    <row r="78" spans="1:11" x14ac:dyDescent="0.3">
      <c r="A78" s="5" t="s">
        <v>19</v>
      </c>
      <c r="B78" s="5" t="s">
        <v>20</v>
      </c>
      <c r="C78" s="5">
        <f>SUMIFS(sale[Amount],sale[Geography],B78)</f>
        <v>237944</v>
      </c>
      <c r="D78" s="2" t="s">
        <v>45</v>
      </c>
      <c r="E78" s="2">
        <v>854</v>
      </c>
      <c r="F78" s="2">
        <f>sale[[#This Row],[Amount]]-sale[[#This Row],[Cost]]</f>
        <v>-2353.42</v>
      </c>
      <c r="G78" s="6">
        <v>3207.42</v>
      </c>
      <c r="H78" s="2">
        <v>309</v>
      </c>
      <c r="I78" s="2">
        <v>309</v>
      </c>
      <c r="J78" s="4"/>
      <c r="K78" s="4"/>
    </row>
    <row r="79" spans="1:11" x14ac:dyDescent="0.3">
      <c r="A79" s="8" t="s">
        <v>23</v>
      </c>
      <c r="B79" s="8" t="s">
        <v>20</v>
      </c>
      <c r="C79" s="5">
        <f>SUMIFS(sale[Amount],sale[Geography],B79)</f>
        <v>237944</v>
      </c>
      <c r="D79" s="2" t="s">
        <v>28</v>
      </c>
      <c r="E79" s="2">
        <v>4970</v>
      </c>
      <c r="F79" s="2">
        <f>sale[[#This Row],[Amount]]-sale[[#This Row],[Cost]]</f>
        <v>4484.84</v>
      </c>
      <c r="G79" s="2">
        <v>485.15999999999997</v>
      </c>
      <c r="H79" s="2">
        <v>156</v>
      </c>
      <c r="I79" s="2">
        <v>156</v>
      </c>
      <c r="J79" s="4"/>
      <c r="K79" s="4"/>
    </row>
    <row r="80" spans="1:11" x14ac:dyDescent="0.3">
      <c r="A80" s="5" t="s">
        <v>17</v>
      </c>
      <c r="B80" s="5" t="s">
        <v>14</v>
      </c>
      <c r="C80" s="5">
        <f>SUMIFS(sale[Amount],sale[Geography],B80)</f>
        <v>189434</v>
      </c>
      <c r="D80" s="2" t="s">
        <v>42</v>
      </c>
      <c r="E80" s="2">
        <v>98</v>
      </c>
      <c r="F80" s="2">
        <f>sale[[#This Row],[Amount]]-sale[[#This Row],[Cost]]</f>
        <v>-792.4</v>
      </c>
      <c r="G80" s="6">
        <v>890.4</v>
      </c>
      <c r="H80" s="2">
        <v>159</v>
      </c>
      <c r="I80" s="2">
        <v>159</v>
      </c>
      <c r="J80" s="4"/>
      <c r="K80" s="4"/>
    </row>
    <row r="81" spans="1:11" x14ac:dyDescent="0.3">
      <c r="A81" s="8" t="s">
        <v>35</v>
      </c>
      <c r="B81" s="8" t="s">
        <v>14</v>
      </c>
      <c r="C81" s="5">
        <f>SUMIFS(sale[Amount],sale[Geography],B81)</f>
        <v>189434</v>
      </c>
      <c r="D81" s="2" t="s">
        <v>22</v>
      </c>
      <c r="E81" s="2">
        <v>13391</v>
      </c>
      <c r="F81" s="2">
        <f>sale[[#This Row],[Amount]]-sale[[#This Row],[Cost]]</f>
        <v>11033.27</v>
      </c>
      <c r="G81" s="2">
        <v>2357.73</v>
      </c>
      <c r="H81" s="2">
        <v>201</v>
      </c>
      <c r="I81" s="2">
        <v>201</v>
      </c>
      <c r="J81" s="4"/>
      <c r="K81" s="4"/>
    </row>
    <row r="82" spans="1:11" x14ac:dyDescent="0.3">
      <c r="A82" s="5" t="s">
        <v>13</v>
      </c>
      <c r="B82" s="5" t="s">
        <v>24</v>
      </c>
      <c r="C82" s="5">
        <f>SUMIFS(sale[Amount],sale[Geography],B82)</f>
        <v>173530</v>
      </c>
      <c r="D82" s="2" t="s">
        <v>30</v>
      </c>
      <c r="E82" s="2">
        <v>8890</v>
      </c>
      <c r="F82" s="2">
        <f>sale[[#This Row],[Amount]]-sale[[#This Row],[Cost]]</f>
        <v>7674.1</v>
      </c>
      <c r="G82" s="6">
        <v>1215.9000000000001</v>
      </c>
      <c r="H82" s="2">
        <v>210</v>
      </c>
      <c r="I82" s="2">
        <v>210</v>
      </c>
      <c r="J82" s="4"/>
      <c r="K82" s="4"/>
    </row>
    <row r="83" spans="1:11" x14ac:dyDescent="0.3">
      <c r="A83" s="8" t="s">
        <v>37</v>
      </c>
      <c r="B83" s="8" t="s">
        <v>29</v>
      </c>
      <c r="C83" s="5">
        <f>SUMIFS(sale[Amount],sale[Geography],B83)</f>
        <v>168679</v>
      </c>
      <c r="D83" s="2" t="s">
        <v>12</v>
      </c>
      <c r="E83" s="2">
        <v>56</v>
      </c>
      <c r="F83" s="2">
        <f>sale[[#This Row],[Amount]]-sale[[#This Row],[Cost]]</f>
        <v>-419.83</v>
      </c>
      <c r="G83" s="2">
        <v>475.83</v>
      </c>
      <c r="H83" s="2">
        <v>51</v>
      </c>
      <c r="I83" s="2">
        <v>51</v>
      </c>
      <c r="J83" s="4"/>
      <c r="K83" s="4"/>
    </row>
    <row r="84" spans="1:11" x14ac:dyDescent="0.3">
      <c r="A84" s="5" t="s">
        <v>38</v>
      </c>
      <c r="B84" s="5" t="s">
        <v>20</v>
      </c>
      <c r="C84" s="5">
        <f>SUMIFS(sale[Amount],sale[Geography],B84)</f>
        <v>237944</v>
      </c>
      <c r="D84" s="2" t="s">
        <v>25</v>
      </c>
      <c r="E84" s="2">
        <v>3339</v>
      </c>
      <c r="F84" s="2">
        <f>sale[[#This Row],[Amount]]-sale[[#This Row],[Cost]]</f>
        <v>2826.15</v>
      </c>
      <c r="G84" s="6">
        <v>512.85</v>
      </c>
      <c r="H84" s="2">
        <v>39</v>
      </c>
      <c r="I84" s="2">
        <v>39</v>
      </c>
      <c r="J84" s="4"/>
      <c r="K84" s="4"/>
    </row>
    <row r="85" spans="1:11" x14ac:dyDescent="0.3">
      <c r="A85" s="8" t="s">
        <v>46</v>
      </c>
      <c r="B85" s="8" t="s">
        <v>14</v>
      </c>
      <c r="C85" s="5">
        <f>SUMIFS(sale[Amount],sale[Geography],B85)</f>
        <v>189434</v>
      </c>
      <c r="D85" s="2" t="s">
        <v>21</v>
      </c>
      <c r="E85" s="2">
        <v>3808</v>
      </c>
      <c r="F85" s="2">
        <f>sale[[#This Row],[Amount]]-sale[[#This Row],[Cost]]</f>
        <v>2002.8700000000001</v>
      </c>
      <c r="G85" s="2">
        <v>1805.1299999999999</v>
      </c>
      <c r="H85" s="2">
        <v>279</v>
      </c>
      <c r="I85" s="2">
        <v>279</v>
      </c>
      <c r="J85" s="4"/>
      <c r="K85" s="4"/>
    </row>
    <row r="86" spans="1:11" x14ac:dyDescent="0.3">
      <c r="A86" s="5" t="s">
        <v>46</v>
      </c>
      <c r="B86" s="5" t="s">
        <v>29</v>
      </c>
      <c r="C86" s="5">
        <f>SUMIFS(sale[Amount],sale[Geography],B86)</f>
        <v>168679</v>
      </c>
      <c r="D86" s="2" t="s">
        <v>12</v>
      </c>
      <c r="E86" s="2">
        <v>63</v>
      </c>
      <c r="F86" s="2">
        <f>sale[[#This Row],[Amount]]-sale[[#This Row],[Cost]]</f>
        <v>-1084.5899999999999</v>
      </c>
      <c r="G86" s="6">
        <v>1147.5899999999999</v>
      </c>
      <c r="H86" s="2">
        <v>123</v>
      </c>
      <c r="I86" s="2">
        <v>123</v>
      </c>
      <c r="J86" s="4"/>
      <c r="K86" s="4"/>
    </row>
    <row r="87" spans="1:11" x14ac:dyDescent="0.3">
      <c r="A87" s="8" t="s">
        <v>37</v>
      </c>
      <c r="B87" s="8" t="s">
        <v>24</v>
      </c>
      <c r="C87" s="5">
        <f>SUMIFS(sale[Amount],sale[Geography],B87)</f>
        <v>173530</v>
      </c>
      <c r="D87" s="2" t="s">
        <v>44</v>
      </c>
      <c r="E87" s="2">
        <v>7812</v>
      </c>
      <c r="F87" s="2">
        <f>sale[[#This Row],[Amount]]-sale[[#This Row],[Cost]]</f>
        <v>6456.87</v>
      </c>
      <c r="G87" s="2">
        <v>1355.13</v>
      </c>
      <c r="H87" s="2">
        <v>81</v>
      </c>
      <c r="I87" s="2">
        <v>81</v>
      </c>
      <c r="J87" s="4"/>
      <c r="K87" s="4"/>
    </row>
    <row r="88" spans="1:11" x14ac:dyDescent="0.3">
      <c r="A88" s="5" t="s">
        <v>9</v>
      </c>
      <c r="B88" s="5" t="s">
        <v>10</v>
      </c>
      <c r="C88" s="5">
        <f>SUMIFS(sale[Amount],sale[Geography],B88)</f>
        <v>218813</v>
      </c>
      <c r="D88" s="2" t="s">
        <v>32</v>
      </c>
      <c r="E88" s="2">
        <v>7693</v>
      </c>
      <c r="F88" s="2">
        <f>sale[[#This Row],[Amount]]-sale[[#This Row],[Cost]]</f>
        <v>7532.56</v>
      </c>
      <c r="G88" s="6">
        <v>160.44</v>
      </c>
      <c r="H88" s="2">
        <v>21</v>
      </c>
      <c r="I88" s="2">
        <v>21</v>
      </c>
      <c r="J88" s="4"/>
      <c r="K88" s="4"/>
    </row>
    <row r="89" spans="1:11" x14ac:dyDescent="0.3">
      <c r="A89" s="8" t="s">
        <v>38</v>
      </c>
      <c r="B89" s="8" t="s">
        <v>20</v>
      </c>
      <c r="C89" s="5">
        <f>SUMIFS(sale[Amount],sale[Geography],B89)</f>
        <v>237944</v>
      </c>
      <c r="D89" s="2" t="s">
        <v>45</v>
      </c>
      <c r="E89" s="2">
        <v>973</v>
      </c>
      <c r="F89" s="2">
        <f>sale[[#This Row],[Amount]]-sale[[#This Row],[Cost]]</f>
        <v>-708.56000000000017</v>
      </c>
      <c r="G89" s="2">
        <v>1681.5600000000002</v>
      </c>
      <c r="H89" s="2">
        <v>162</v>
      </c>
      <c r="I89" s="2">
        <v>162</v>
      </c>
      <c r="J89" s="4"/>
      <c r="K89" s="4"/>
    </row>
    <row r="90" spans="1:11" x14ac:dyDescent="0.3">
      <c r="A90" s="5" t="s">
        <v>46</v>
      </c>
      <c r="B90" s="5" t="s">
        <v>14</v>
      </c>
      <c r="C90" s="5">
        <f>SUMIFS(sale[Amount],sale[Geography],B90)</f>
        <v>189434</v>
      </c>
      <c r="D90" s="2" t="s">
        <v>36</v>
      </c>
      <c r="E90" s="2">
        <v>567</v>
      </c>
      <c r="F90" s="2">
        <f>sale[[#This Row],[Amount]]-sale[[#This Row],[Cost]]</f>
        <v>-1485</v>
      </c>
      <c r="G90" s="6">
        <v>2052</v>
      </c>
      <c r="H90" s="2">
        <v>228</v>
      </c>
      <c r="I90" s="2">
        <v>228</v>
      </c>
      <c r="J90" s="4"/>
      <c r="K90" s="4"/>
    </row>
    <row r="91" spans="1:11" x14ac:dyDescent="0.3">
      <c r="A91" s="8" t="s">
        <v>46</v>
      </c>
      <c r="B91" s="8" t="s">
        <v>20</v>
      </c>
      <c r="C91" s="5">
        <f>SUMIFS(sale[Amount],sale[Geography],B91)</f>
        <v>237944</v>
      </c>
      <c r="D91" s="2" t="s">
        <v>43</v>
      </c>
      <c r="E91" s="2">
        <v>2471</v>
      </c>
      <c r="F91" s="2">
        <f>sale[[#This Row],[Amount]]-sale[[#This Row],[Cost]]</f>
        <v>22.279999999999745</v>
      </c>
      <c r="G91" s="2">
        <v>2448.7200000000003</v>
      </c>
      <c r="H91" s="2">
        <v>342</v>
      </c>
      <c r="I91" s="2">
        <v>342</v>
      </c>
      <c r="J91" s="4"/>
      <c r="K91" s="4"/>
    </row>
    <row r="92" spans="1:11" x14ac:dyDescent="0.3">
      <c r="A92" s="5" t="s">
        <v>35</v>
      </c>
      <c r="B92" s="5" t="s">
        <v>29</v>
      </c>
      <c r="C92" s="5">
        <f>SUMIFS(sale[Amount],sale[Geography],B92)</f>
        <v>168679</v>
      </c>
      <c r="D92" s="2" t="s">
        <v>12</v>
      </c>
      <c r="E92" s="2">
        <v>7189</v>
      </c>
      <c r="F92" s="2">
        <f>sale[[#This Row],[Amount]]-sale[[#This Row],[Cost]]</f>
        <v>6685.18</v>
      </c>
      <c r="G92" s="6">
        <v>503.82</v>
      </c>
      <c r="H92" s="2">
        <v>54</v>
      </c>
      <c r="I92" s="2">
        <v>54</v>
      </c>
      <c r="J92" s="4"/>
      <c r="K92" s="4"/>
    </row>
    <row r="93" spans="1:11" x14ac:dyDescent="0.3">
      <c r="A93" s="8" t="s">
        <v>19</v>
      </c>
      <c r="B93" s="8" t="s">
        <v>14</v>
      </c>
      <c r="C93" s="5">
        <f>SUMIFS(sale[Amount],sale[Geography],B93)</f>
        <v>189434</v>
      </c>
      <c r="D93" s="2" t="s">
        <v>45</v>
      </c>
      <c r="E93" s="2">
        <v>7455</v>
      </c>
      <c r="F93" s="2">
        <f>sale[[#This Row],[Amount]]-sale[[#This Row],[Cost]]</f>
        <v>5212.92</v>
      </c>
      <c r="G93" s="2">
        <v>2242.0800000000004</v>
      </c>
      <c r="H93" s="2">
        <v>216</v>
      </c>
      <c r="I93" s="2">
        <v>216</v>
      </c>
      <c r="J93" s="4"/>
      <c r="K93" s="4"/>
    </row>
    <row r="94" spans="1:11" x14ac:dyDescent="0.3">
      <c r="A94" s="5" t="s">
        <v>38</v>
      </c>
      <c r="B94" s="5" t="s">
        <v>41</v>
      </c>
      <c r="C94" s="5">
        <f>SUMIFS(sale[Amount],sale[Geography],B94)</f>
        <v>252469</v>
      </c>
      <c r="D94" s="2" t="s">
        <v>42</v>
      </c>
      <c r="E94" s="2">
        <v>3108</v>
      </c>
      <c r="F94" s="2">
        <f>sale[[#This Row],[Amount]]-sale[[#This Row],[Cost]]</f>
        <v>2805.6</v>
      </c>
      <c r="G94" s="6">
        <v>302.39999999999998</v>
      </c>
      <c r="H94" s="2">
        <v>54</v>
      </c>
      <c r="I94" s="2">
        <v>54</v>
      </c>
      <c r="J94" s="4"/>
      <c r="K94" s="4"/>
    </row>
    <row r="95" spans="1:11" x14ac:dyDescent="0.3">
      <c r="A95" s="8" t="s">
        <v>23</v>
      </c>
      <c r="B95" s="8" t="s">
        <v>29</v>
      </c>
      <c r="C95" s="5">
        <f>SUMIFS(sale[Amount],sale[Geography],B95)</f>
        <v>168679</v>
      </c>
      <c r="D95" s="2" t="s">
        <v>25</v>
      </c>
      <c r="E95" s="2">
        <v>469</v>
      </c>
      <c r="F95" s="2">
        <f>sale[[#This Row],[Amount]]-sale[[#This Row],[Cost]]</f>
        <v>-517.25</v>
      </c>
      <c r="G95" s="2">
        <v>986.25</v>
      </c>
      <c r="H95" s="2">
        <v>75</v>
      </c>
      <c r="I95" s="2">
        <v>75</v>
      </c>
      <c r="J95" s="4"/>
      <c r="K95" s="4"/>
    </row>
    <row r="96" spans="1:11" x14ac:dyDescent="0.3">
      <c r="A96" s="5" t="s">
        <v>17</v>
      </c>
      <c r="B96" s="5" t="s">
        <v>10</v>
      </c>
      <c r="C96" s="5">
        <f>SUMIFS(sale[Amount],sale[Geography],B96)</f>
        <v>218813</v>
      </c>
      <c r="D96" s="2" t="s">
        <v>39</v>
      </c>
      <c r="E96" s="2">
        <v>2737</v>
      </c>
      <c r="F96" s="2">
        <f>sale[[#This Row],[Amount]]-sale[[#This Row],[Cost]]</f>
        <v>2133.4299999999998</v>
      </c>
      <c r="G96" s="6">
        <v>603.57000000000005</v>
      </c>
      <c r="H96" s="2">
        <v>93</v>
      </c>
      <c r="I96" s="2">
        <v>93</v>
      </c>
      <c r="J96" s="4"/>
      <c r="K96" s="4"/>
    </row>
    <row r="97" spans="1:11" x14ac:dyDescent="0.3">
      <c r="A97" s="8" t="s">
        <v>17</v>
      </c>
      <c r="B97" s="8" t="s">
        <v>10</v>
      </c>
      <c r="C97" s="5">
        <f>SUMIFS(sale[Amount],sale[Geography],B97)</f>
        <v>218813</v>
      </c>
      <c r="D97" s="2" t="s">
        <v>25</v>
      </c>
      <c r="E97" s="2">
        <v>4305</v>
      </c>
      <c r="F97" s="2">
        <f>sale[[#This Row],[Amount]]-sale[[#This Row],[Cost]]</f>
        <v>2253.6</v>
      </c>
      <c r="G97" s="2">
        <v>2051.4</v>
      </c>
      <c r="H97" s="2">
        <v>156</v>
      </c>
      <c r="I97" s="2">
        <v>156</v>
      </c>
      <c r="J97" s="4"/>
      <c r="K97" s="4"/>
    </row>
    <row r="98" spans="1:11" x14ac:dyDescent="0.3">
      <c r="A98" s="5" t="s">
        <v>17</v>
      </c>
      <c r="B98" s="5" t="s">
        <v>29</v>
      </c>
      <c r="C98" s="5">
        <f>SUMIFS(sale[Amount],sale[Geography],B98)</f>
        <v>168679</v>
      </c>
      <c r="D98" s="2" t="s">
        <v>28</v>
      </c>
      <c r="E98" s="2">
        <v>2408</v>
      </c>
      <c r="F98" s="2">
        <f>sale[[#This Row],[Amount]]-sale[[#This Row],[Cost]]</f>
        <v>2380.0100000000002</v>
      </c>
      <c r="G98" s="6">
        <v>27.99</v>
      </c>
      <c r="H98" s="2">
        <v>9</v>
      </c>
      <c r="I98" s="2">
        <v>9</v>
      </c>
      <c r="J98" s="4"/>
      <c r="K98" s="4"/>
    </row>
    <row r="99" spans="1:11" x14ac:dyDescent="0.3">
      <c r="A99" s="8" t="s">
        <v>38</v>
      </c>
      <c r="B99" s="8" t="s">
        <v>20</v>
      </c>
      <c r="C99" s="5">
        <f>SUMIFS(sale[Amount],sale[Geography],B99)</f>
        <v>237944</v>
      </c>
      <c r="D99" s="2" t="s">
        <v>32</v>
      </c>
      <c r="E99" s="2">
        <v>1281</v>
      </c>
      <c r="F99" s="2">
        <f>sale[[#This Row],[Amount]]-sale[[#This Row],[Cost]]</f>
        <v>1143.48</v>
      </c>
      <c r="G99" s="2">
        <v>137.51999999999998</v>
      </c>
      <c r="H99" s="2">
        <v>18</v>
      </c>
      <c r="I99" s="2">
        <v>18</v>
      </c>
      <c r="J99" s="4"/>
      <c r="K99" s="4"/>
    </row>
    <row r="100" spans="1:11" x14ac:dyDescent="0.3">
      <c r="A100" s="5" t="s">
        <v>9</v>
      </c>
      <c r="B100" s="5" t="s">
        <v>14</v>
      </c>
      <c r="C100" s="5">
        <f>SUMIFS(sale[Amount],sale[Geography],B100)</f>
        <v>189434</v>
      </c>
      <c r="D100" s="2" t="s">
        <v>15</v>
      </c>
      <c r="E100" s="2">
        <v>12348</v>
      </c>
      <c r="F100" s="2">
        <f>sale[[#This Row],[Amount]]-sale[[#This Row],[Cost]]</f>
        <v>10323.9</v>
      </c>
      <c r="G100" s="6">
        <v>2024.1000000000001</v>
      </c>
      <c r="H100" s="2">
        <v>234</v>
      </c>
      <c r="I100" s="2">
        <v>234</v>
      </c>
      <c r="J100" s="4"/>
      <c r="K100" s="4"/>
    </row>
    <row r="101" spans="1:11" x14ac:dyDescent="0.3">
      <c r="A101" s="8" t="s">
        <v>38</v>
      </c>
      <c r="B101" s="8" t="s">
        <v>41</v>
      </c>
      <c r="C101" s="5">
        <f>SUMIFS(sale[Amount],sale[Geography],B101)</f>
        <v>252469</v>
      </c>
      <c r="D101" s="2" t="s">
        <v>45</v>
      </c>
      <c r="E101" s="2">
        <v>3689</v>
      </c>
      <c r="F101" s="2">
        <f>sale[[#This Row],[Amount]]-sale[[#This Row],[Cost]]</f>
        <v>450.4399999999996</v>
      </c>
      <c r="G101" s="2">
        <v>3238.5600000000004</v>
      </c>
      <c r="H101" s="2">
        <v>312</v>
      </c>
      <c r="I101" s="2">
        <v>312</v>
      </c>
      <c r="J101" s="4"/>
      <c r="K101" s="4"/>
    </row>
    <row r="102" spans="1:11" x14ac:dyDescent="0.3">
      <c r="A102" s="5" t="s">
        <v>33</v>
      </c>
      <c r="B102" s="5" t="s">
        <v>20</v>
      </c>
      <c r="C102" s="5">
        <f>SUMIFS(sale[Amount],sale[Geography],B102)</f>
        <v>237944</v>
      </c>
      <c r="D102" s="2" t="s">
        <v>32</v>
      </c>
      <c r="E102" s="2">
        <v>2870</v>
      </c>
      <c r="F102" s="2">
        <f>sale[[#This Row],[Amount]]-sale[[#This Row],[Cost]]</f>
        <v>578</v>
      </c>
      <c r="G102" s="6">
        <v>2292</v>
      </c>
      <c r="H102" s="2">
        <v>300</v>
      </c>
      <c r="I102" s="2">
        <v>300</v>
      </c>
      <c r="J102" s="4"/>
      <c r="K102" s="4"/>
    </row>
    <row r="103" spans="1:11" x14ac:dyDescent="0.3">
      <c r="A103" s="8" t="s">
        <v>37</v>
      </c>
      <c r="B103" s="8" t="s">
        <v>20</v>
      </c>
      <c r="C103" s="5">
        <f>SUMIFS(sale[Amount],sale[Geography],B103)</f>
        <v>237944</v>
      </c>
      <c r="D103" s="2" t="s">
        <v>44</v>
      </c>
      <c r="E103" s="2">
        <v>798</v>
      </c>
      <c r="F103" s="2">
        <f>sale[[#This Row],[Amount]]-sale[[#This Row],[Cost]]</f>
        <v>-7884.8700000000008</v>
      </c>
      <c r="G103" s="2">
        <v>8682.8700000000008</v>
      </c>
      <c r="H103" s="2">
        <v>519</v>
      </c>
      <c r="I103" s="2">
        <v>519</v>
      </c>
      <c r="J103" s="4"/>
      <c r="K103" s="4"/>
    </row>
    <row r="104" spans="1:11" x14ac:dyDescent="0.3">
      <c r="A104" s="5" t="s">
        <v>19</v>
      </c>
      <c r="B104" s="5" t="s">
        <v>10</v>
      </c>
      <c r="C104" s="5">
        <f>SUMIFS(sale[Amount],sale[Geography],B104)</f>
        <v>218813</v>
      </c>
      <c r="D104" s="2" t="s">
        <v>36</v>
      </c>
      <c r="E104" s="2">
        <v>2933</v>
      </c>
      <c r="F104" s="2">
        <f>sale[[#This Row],[Amount]]-sale[[#This Row],[Cost]]</f>
        <v>2852</v>
      </c>
      <c r="G104" s="6">
        <v>81</v>
      </c>
      <c r="H104" s="2">
        <v>9</v>
      </c>
      <c r="I104" s="2">
        <v>9</v>
      </c>
      <c r="J104" s="4"/>
      <c r="K104" s="4"/>
    </row>
    <row r="105" spans="1:11" x14ac:dyDescent="0.3">
      <c r="A105" s="8" t="s">
        <v>35</v>
      </c>
      <c r="B105" s="8" t="s">
        <v>14</v>
      </c>
      <c r="C105" s="5">
        <f>SUMIFS(sale[Amount],sale[Geography],B105)</f>
        <v>189434</v>
      </c>
      <c r="D105" s="2" t="s">
        <v>18</v>
      </c>
      <c r="E105" s="2">
        <v>2744</v>
      </c>
      <c r="F105" s="2">
        <f>sale[[#This Row],[Amount]]-sale[[#This Row],[Cost]]</f>
        <v>2637.08</v>
      </c>
      <c r="G105" s="2">
        <v>106.92</v>
      </c>
      <c r="H105" s="2">
        <v>9</v>
      </c>
      <c r="I105" s="2">
        <v>9</v>
      </c>
      <c r="J105" s="4"/>
      <c r="K105" s="4"/>
    </row>
    <row r="106" spans="1:11" x14ac:dyDescent="0.3">
      <c r="A106" s="5" t="s">
        <v>9</v>
      </c>
      <c r="B106" s="5" t="s">
        <v>20</v>
      </c>
      <c r="C106" s="5">
        <f>SUMIFS(sale[Amount],sale[Geography],B106)</f>
        <v>237944</v>
      </c>
      <c r="D106" s="2" t="s">
        <v>27</v>
      </c>
      <c r="E106" s="2">
        <v>9772</v>
      </c>
      <c r="F106" s="2">
        <f>sale[[#This Row],[Amount]]-sale[[#This Row],[Cost]]</f>
        <v>8658.7000000000007</v>
      </c>
      <c r="G106" s="6">
        <v>1113.3</v>
      </c>
      <c r="H106" s="2">
        <v>90</v>
      </c>
      <c r="I106" s="2">
        <v>90</v>
      </c>
      <c r="J106" s="4"/>
      <c r="K106" s="4"/>
    </row>
    <row r="107" spans="1:11" x14ac:dyDescent="0.3">
      <c r="A107" s="8" t="s">
        <v>33</v>
      </c>
      <c r="B107" s="8" t="s">
        <v>41</v>
      </c>
      <c r="C107" s="5">
        <f>SUMIFS(sale[Amount],sale[Geography],B107)</f>
        <v>252469</v>
      </c>
      <c r="D107" s="2" t="s">
        <v>25</v>
      </c>
      <c r="E107" s="2">
        <v>1568</v>
      </c>
      <c r="F107" s="2">
        <f>sale[[#This Row],[Amount]]-sale[[#This Row],[Cost]]</f>
        <v>305.59999999999991</v>
      </c>
      <c r="G107" s="2">
        <v>1262.4000000000001</v>
      </c>
      <c r="H107" s="2">
        <v>96</v>
      </c>
      <c r="I107" s="2">
        <v>96</v>
      </c>
      <c r="J107" s="4"/>
      <c r="K107" s="4"/>
    </row>
    <row r="108" spans="1:11" x14ac:dyDescent="0.3">
      <c r="A108" s="5" t="s">
        <v>37</v>
      </c>
      <c r="B108" s="5" t="s">
        <v>20</v>
      </c>
      <c r="C108" s="5">
        <f>SUMIFS(sale[Amount],sale[Geography],B108)</f>
        <v>237944</v>
      </c>
      <c r="D108" s="2" t="s">
        <v>26</v>
      </c>
      <c r="E108" s="2">
        <v>11417</v>
      </c>
      <c r="F108" s="2">
        <f>sale[[#This Row],[Amount]]-sale[[#This Row],[Cost]]</f>
        <v>11232.41</v>
      </c>
      <c r="G108" s="6">
        <v>184.58999999999997</v>
      </c>
      <c r="H108" s="2">
        <v>21</v>
      </c>
      <c r="I108" s="2">
        <v>21</v>
      </c>
      <c r="J108" s="4"/>
      <c r="K108" s="4"/>
    </row>
    <row r="109" spans="1:11" x14ac:dyDescent="0.3">
      <c r="A109" s="8" t="s">
        <v>9</v>
      </c>
      <c r="B109" s="8" t="s">
        <v>41</v>
      </c>
      <c r="C109" s="5">
        <f>SUMIFS(sale[Amount],sale[Geography],B109)</f>
        <v>252469</v>
      </c>
      <c r="D109" s="2" t="s">
        <v>42</v>
      </c>
      <c r="E109" s="2">
        <v>6748</v>
      </c>
      <c r="F109" s="2">
        <f>sale[[#This Row],[Amount]]-sale[[#This Row],[Cost]]</f>
        <v>6479.2</v>
      </c>
      <c r="G109" s="2">
        <v>268.79999999999995</v>
      </c>
      <c r="H109" s="2">
        <v>48</v>
      </c>
      <c r="I109" s="2">
        <v>48</v>
      </c>
      <c r="J109" s="4"/>
      <c r="K109" s="4"/>
    </row>
    <row r="110" spans="1:11" x14ac:dyDescent="0.3">
      <c r="A110" s="5" t="s">
        <v>46</v>
      </c>
      <c r="B110" s="5" t="s">
        <v>20</v>
      </c>
      <c r="C110" s="5">
        <f>SUMIFS(sale[Amount],sale[Geography],B110)</f>
        <v>237944</v>
      </c>
      <c r="D110" s="2" t="s">
        <v>44</v>
      </c>
      <c r="E110" s="2">
        <v>1407</v>
      </c>
      <c r="F110" s="2">
        <f>sale[[#This Row],[Amount]]-sale[[#This Row],[Cost]]</f>
        <v>202.44000000000005</v>
      </c>
      <c r="G110" s="6">
        <v>1204.56</v>
      </c>
      <c r="H110" s="2">
        <v>72</v>
      </c>
      <c r="I110" s="2">
        <v>72</v>
      </c>
      <c r="J110" s="4"/>
      <c r="K110" s="4"/>
    </row>
    <row r="111" spans="1:11" x14ac:dyDescent="0.3">
      <c r="A111" s="8" t="s">
        <v>13</v>
      </c>
      <c r="B111" s="8" t="s">
        <v>14</v>
      </c>
      <c r="C111" s="5">
        <f>SUMIFS(sale[Amount],sale[Geography],B111)</f>
        <v>189434</v>
      </c>
      <c r="D111" s="2" t="s">
        <v>43</v>
      </c>
      <c r="E111" s="2">
        <v>2023</v>
      </c>
      <c r="F111" s="2">
        <f>sale[[#This Row],[Amount]]-sale[[#This Row],[Cost]]</f>
        <v>820.11999999999989</v>
      </c>
      <c r="G111" s="2">
        <v>1202.8800000000001</v>
      </c>
      <c r="H111" s="2">
        <v>168</v>
      </c>
      <c r="I111" s="2">
        <v>168</v>
      </c>
      <c r="J111" s="4"/>
      <c r="K111" s="4"/>
    </row>
    <row r="112" spans="1:11" x14ac:dyDescent="0.3">
      <c r="A112" s="5" t="s">
        <v>35</v>
      </c>
      <c r="B112" s="5" t="s">
        <v>24</v>
      </c>
      <c r="C112" s="5">
        <f>SUMIFS(sale[Amount],sale[Geography],B112)</f>
        <v>173530</v>
      </c>
      <c r="D112" s="2" t="s">
        <v>42</v>
      </c>
      <c r="E112" s="2">
        <v>5236</v>
      </c>
      <c r="F112" s="2">
        <f>sale[[#This Row],[Amount]]-sale[[#This Row],[Cost]]</f>
        <v>4950.3999999999996</v>
      </c>
      <c r="G112" s="6">
        <v>285.59999999999997</v>
      </c>
      <c r="H112" s="2">
        <v>51</v>
      </c>
      <c r="I112" s="2">
        <v>51</v>
      </c>
      <c r="J112" s="4"/>
      <c r="K112" s="4"/>
    </row>
    <row r="113" spans="1:11" x14ac:dyDescent="0.3">
      <c r="A113" s="8" t="s">
        <v>19</v>
      </c>
      <c r="B113" s="8" t="s">
        <v>20</v>
      </c>
      <c r="C113" s="5">
        <f>SUMIFS(sale[Amount],sale[Geography],B113)</f>
        <v>237944</v>
      </c>
      <c r="D113" s="2" t="s">
        <v>32</v>
      </c>
      <c r="E113" s="2">
        <v>1925</v>
      </c>
      <c r="F113" s="2">
        <f>sale[[#This Row],[Amount]]-sale[[#This Row],[Cost]]</f>
        <v>458.12000000000012</v>
      </c>
      <c r="G113" s="2">
        <v>1466.8799999999999</v>
      </c>
      <c r="H113" s="2">
        <v>192</v>
      </c>
      <c r="I113" s="2">
        <v>192</v>
      </c>
      <c r="J113" s="4"/>
      <c r="K113" s="4"/>
    </row>
    <row r="114" spans="1:11" x14ac:dyDescent="0.3">
      <c r="A114" s="5" t="s">
        <v>33</v>
      </c>
      <c r="B114" s="5" t="s">
        <v>10</v>
      </c>
      <c r="C114" s="5">
        <f>SUMIFS(sale[Amount],sale[Geography],B114)</f>
        <v>218813</v>
      </c>
      <c r="D114" s="2" t="s">
        <v>16</v>
      </c>
      <c r="E114" s="2">
        <v>6608</v>
      </c>
      <c r="F114" s="2">
        <f>sale[[#This Row],[Amount]]-sale[[#This Row],[Cost]]</f>
        <v>3975.5</v>
      </c>
      <c r="G114" s="6">
        <v>2632.5</v>
      </c>
      <c r="H114" s="2">
        <v>225</v>
      </c>
      <c r="I114" s="2">
        <v>225</v>
      </c>
      <c r="J114" s="4"/>
      <c r="K114" s="4"/>
    </row>
    <row r="115" spans="1:11" x14ac:dyDescent="0.3">
      <c r="A115" s="8" t="s">
        <v>23</v>
      </c>
      <c r="B115" s="8" t="s">
        <v>41</v>
      </c>
      <c r="C115" s="5">
        <f>SUMIFS(sale[Amount],sale[Geography],B115)</f>
        <v>252469</v>
      </c>
      <c r="D115" s="2" t="s">
        <v>42</v>
      </c>
      <c r="E115" s="2">
        <v>8008</v>
      </c>
      <c r="F115" s="2">
        <f>sale[[#This Row],[Amount]]-sale[[#This Row],[Cost]]</f>
        <v>5454.4</v>
      </c>
      <c r="G115" s="2">
        <v>2553.6</v>
      </c>
      <c r="H115" s="2">
        <v>456</v>
      </c>
      <c r="I115" s="2">
        <v>456</v>
      </c>
      <c r="J115" s="4"/>
      <c r="K115" s="4"/>
    </row>
    <row r="116" spans="1:11" x14ac:dyDescent="0.3">
      <c r="A116" s="5" t="s">
        <v>46</v>
      </c>
      <c r="B116" s="5" t="s">
        <v>41</v>
      </c>
      <c r="C116" s="5">
        <f>SUMIFS(sale[Amount],sale[Geography],B116)</f>
        <v>252469</v>
      </c>
      <c r="D116" s="2" t="s">
        <v>25</v>
      </c>
      <c r="E116" s="2">
        <v>1428</v>
      </c>
      <c r="F116" s="2">
        <f>sale[[#This Row],[Amount]]-sale[[#This Row],[Cost]]</f>
        <v>205.04999999999995</v>
      </c>
      <c r="G116" s="6">
        <v>1222.95</v>
      </c>
      <c r="H116" s="2">
        <v>93</v>
      </c>
      <c r="I116" s="2">
        <v>93</v>
      </c>
      <c r="J116" s="4"/>
      <c r="K116" s="4"/>
    </row>
    <row r="117" spans="1:11" x14ac:dyDescent="0.3">
      <c r="A117" s="8" t="s">
        <v>23</v>
      </c>
      <c r="B117" s="8" t="s">
        <v>41</v>
      </c>
      <c r="C117" s="5">
        <f>SUMIFS(sale[Amount],sale[Geography],B117)</f>
        <v>252469</v>
      </c>
      <c r="D117" s="2" t="s">
        <v>18</v>
      </c>
      <c r="E117" s="2">
        <v>525</v>
      </c>
      <c r="F117" s="2">
        <f>sale[[#This Row],[Amount]]-sale[[#This Row],[Cost]]</f>
        <v>-45.240000000000009</v>
      </c>
      <c r="G117" s="2">
        <v>570.24</v>
      </c>
      <c r="H117" s="2">
        <v>48</v>
      </c>
      <c r="I117" s="2">
        <v>48</v>
      </c>
      <c r="J117" s="4"/>
      <c r="K117" s="4"/>
    </row>
    <row r="118" spans="1:11" x14ac:dyDescent="0.3">
      <c r="A118" s="5" t="s">
        <v>23</v>
      </c>
      <c r="B118" s="5" t="s">
        <v>10</v>
      </c>
      <c r="C118" s="5">
        <f>SUMIFS(sale[Amount],sale[Geography],B118)</f>
        <v>218813</v>
      </c>
      <c r="D118" s="2" t="s">
        <v>21</v>
      </c>
      <c r="E118" s="2">
        <v>1505</v>
      </c>
      <c r="F118" s="2">
        <f>sale[[#This Row],[Amount]]-sale[[#This Row],[Cost]]</f>
        <v>845.06000000000006</v>
      </c>
      <c r="G118" s="6">
        <v>659.93999999999994</v>
      </c>
      <c r="H118" s="2">
        <v>102</v>
      </c>
      <c r="I118" s="2">
        <v>102</v>
      </c>
      <c r="J118" s="4"/>
      <c r="K118" s="4"/>
    </row>
    <row r="119" spans="1:11" x14ac:dyDescent="0.3">
      <c r="A119" s="8" t="s">
        <v>33</v>
      </c>
      <c r="B119" s="8" t="s">
        <v>14</v>
      </c>
      <c r="C119" s="5">
        <f>SUMIFS(sale[Amount],sale[Geography],B119)</f>
        <v>189434</v>
      </c>
      <c r="D119" s="2" t="s">
        <v>11</v>
      </c>
      <c r="E119" s="2">
        <v>6755</v>
      </c>
      <c r="F119" s="2">
        <f>sale[[#This Row],[Amount]]-sale[[#This Row],[Cost]]</f>
        <v>3103.52</v>
      </c>
      <c r="G119" s="2">
        <v>3651.48</v>
      </c>
      <c r="H119" s="2">
        <v>252</v>
      </c>
      <c r="I119" s="2">
        <v>252</v>
      </c>
      <c r="J119" s="4"/>
      <c r="K119" s="4"/>
    </row>
    <row r="120" spans="1:11" x14ac:dyDescent="0.3">
      <c r="A120" s="5" t="s">
        <v>37</v>
      </c>
      <c r="B120" s="5" t="s">
        <v>10</v>
      </c>
      <c r="C120" s="5">
        <f>SUMIFS(sale[Amount],sale[Geography],B120)</f>
        <v>218813</v>
      </c>
      <c r="D120" s="2" t="s">
        <v>21</v>
      </c>
      <c r="E120" s="2">
        <v>11571</v>
      </c>
      <c r="F120" s="2">
        <f>sale[[#This Row],[Amount]]-sale[[#This Row],[Cost]]</f>
        <v>10678.14</v>
      </c>
      <c r="G120" s="6">
        <v>892.86</v>
      </c>
      <c r="H120" s="2">
        <v>138</v>
      </c>
      <c r="I120" s="2">
        <v>138</v>
      </c>
      <c r="J120" s="4"/>
      <c r="K120" s="4"/>
    </row>
    <row r="121" spans="1:11" x14ac:dyDescent="0.3">
      <c r="A121" s="8" t="s">
        <v>9</v>
      </c>
      <c r="B121" s="8" t="s">
        <v>29</v>
      </c>
      <c r="C121" s="5">
        <f>SUMIFS(sale[Amount],sale[Geography],B121)</f>
        <v>168679</v>
      </c>
      <c r="D121" s="2" t="s">
        <v>25</v>
      </c>
      <c r="E121" s="2">
        <v>2541</v>
      </c>
      <c r="F121" s="2">
        <f>sale[[#This Row],[Amount]]-sale[[#This Row],[Cost]]</f>
        <v>1357.5</v>
      </c>
      <c r="G121" s="2">
        <v>1183.5</v>
      </c>
      <c r="H121" s="2">
        <v>90</v>
      </c>
      <c r="I121" s="2">
        <v>90</v>
      </c>
      <c r="J121" s="4"/>
      <c r="K121" s="4"/>
    </row>
    <row r="122" spans="1:11" x14ac:dyDescent="0.3">
      <c r="A122" s="5" t="s">
        <v>19</v>
      </c>
      <c r="B122" s="5" t="s">
        <v>10</v>
      </c>
      <c r="C122" s="5">
        <f>SUMIFS(sale[Amount],sale[Geography],B122)</f>
        <v>218813</v>
      </c>
      <c r="D122" s="2" t="s">
        <v>11</v>
      </c>
      <c r="E122" s="2">
        <v>1526</v>
      </c>
      <c r="F122" s="2">
        <f>sale[[#This Row],[Amount]]-sale[[#This Row],[Cost]]</f>
        <v>-1951.6</v>
      </c>
      <c r="G122" s="6">
        <v>3477.6</v>
      </c>
      <c r="H122" s="2">
        <v>240</v>
      </c>
      <c r="I122" s="2">
        <v>240</v>
      </c>
      <c r="J122" s="4"/>
      <c r="K122" s="4"/>
    </row>
    <row r="123" spans="1:11" x14ac:dyDescent="0.3">
      <c r="A123" s="8" t="s">
        <v>9</v>
      </c>
      <c r="B123" s="8" t="s">
        <v>29</v>
      </c>
      <c r="C123" s="5">
        <f>SUMIFS(sale[Amount],sale[Geography],B123)</f>
        <v>168679</v>
      </c>
      <c r="D123" s="2" t="s">
        <v>18</v>
      </c>
      <c r="E123" s="2">
        <v>6125</v>
      </c>
      <c r="F123" s="2">
        <f>sale[[#This Row],[Amount]]-sale[[#This Row],[Cost]]</f>
        <v>4913.24</v>
      </c>
      <c r="G123" s="2">
        <v>1211.76</v>
      </c>
      <c r="H123" s="2">
        <v>102</v>
      </c>
      <c r="I123" s="2">
        <v>102</v>
      </c>
      <c r="J123" s="4"/>
      <c r="K123" s="4"/>
    </row>
    <row r="124" spans="1:11" x14ac:dyDescent="0.3">
      <c r="A124" s="5" t="s">
        <v>19</v>
      </c>
      <c r="B124" s="5" t="s">
        <v>14</v>
      </c>
      <c r="C124" s="5">
        <f>SUMIFS(sale[Amount],sale[Geography],B124)</f>
        <v>189434</v>
      </c>
      <c r="D124" s="2" t="s">
        <v>44</v>
      </c>
      <c r="E124" s="2">
        <v>847</v>
      </c>
      <c r="F124" s="2">
        <f>sale[[#This Row],[Amount]]-sale[[#This Row],[Cost]]</f>
        <v>-1311.17</v>
      </c>
      <c r="G124" s="6">
        <v>2158.17</v>
      </c>
      <c r="H124" s="2">
        <v>129</v>
      </c>
      <c r="I124" s="2">
        <v>129</v>
      </c>
      <c r="J124" s="4"/>
      <c r="K124" s="4"/>
    </row>
    <row r="125" spans="1:11" x14ac:dyDescent="0.3">
      <c r="A125" s="8" t="s">
        <v>13</v>
      </c>
      <c r="B125" s="8" t="s">
        <v>14</v>
      </c>
      <c r="C125" s="5">
        <f>SUMIFS(sale[Amount],sale[Geography],B125)</f>
        <v>189434</v>
      </c>
      <c r="D125" s="2" t="s">
        <v>44</v>
      </c>
      <c r="E125" s="2">
        <v>4753</v>
      </c>
      <c r="F125" s="2">
        <f>sale[[#This Row],[Amount]]-sale[[#This Row],[Cost]]</f>
        <v>-266</v>
      </c>
      <c r="G125" s="2">
        <v>5019</v>
      </c>
      <c r="H125" s="2">
        <v>300</v>
      </c>
      <c r="I125" s="2">
        <v>300</v>
      </c>
      <c r="J125" s="4"/>
      <c r="K125" s="4"/>
    </row>
    <row r="126" spans="1:11" x14ac:dyDescent="0.3">
      <c r="A126" s="5" t="s">
        <v>23</v>
      </c>
      <c r="B126" s="5" t="s">
        <v>29</v>
      </c>
      <c r="C126" s="5">
        <f>SUMIFS(sale[Amount],sale[Geography],B126)</f>
        <v>168679</v>
      </c>
      <c r="D126" s="2" t="s">
        <v>27</v>
      </c>
      <c r="E126" s="2">
        <v>959</v>
      </c>
      <c r="F126" s="2">
        <f>sale[[#This Row],[Amount]]-sale[[#This Row],[Cost]]</f>
        <v>-710.94999999999982</v>
      </c>
      <c r="G126" s="6">
        <v>1669.9499999999998</v>
      </c>
      <c r="H126" s="2">
        <v>135</v>
      </c>
      <c r="I126" s="2">
        <v>135</v>
      </c>
      <c r="J126" s="4"/>
      <c r="K126" s="4"/>
    </row>
    <row r="127" spans="1:11" x14ac:dyDescent="0.3">
      <c r="A127" s="8" t="s">
        <v>33</v>
      </c>
      <c r="B127" s="8" t="s">
        <v>14</v>
      </c>
      <c r="C127" s="5">
        <f>SUMIFS(sale[Amount],sale[Geography],B127)</f>
        <v>189434</v>
      </c>
      <c r="D127" s="2" t="s">
        <v>40</v>
      </c>
      <c r="E127" s="2">
        <v>2793</v>
      </c>
      <c r="F127" s="2">
        <f>sale[[#This Row],[Amount]]-sale[[#This Row],[Cost]]</f>
        <v>2226.42</v>
      </c>
      <c r="G127" s="2">
        <v>566.57999999999993</v>
      </c>
      <c r="H127" s="2">
        <v>114</v>
      </c>
      <c r="I127" s="2">
        <v>114</v>
      </c>
      <c r="J127" s="4"/>
      <c r="K127" s="4"/>
    </row>
    <row r="128" spans="1:11" x14ac:dyDescent="0.3">
      <c r="A128" s="5" t="s">
        <v>33</v>
      </c>
      <c r="B128" s="5" t="s">
        <v>14</v>
      </c>
      <c r="C128" s="5">
        <f>SUMIFS(sale[Amount],sale[Geography],B128)</f>
        <v>189434</v>
      </c>
      <c r="D128" s="2" t="s">
        <v>16</v>
      </c>
      <c r="E128" s="2">
        <v>4606</v>
      </c>
      <c r="F128" s="2">
        <f>sale[[#This Row],[Amount]]-sale[[#This Row],[Cost]]</f>
        <v>3868.9</v>
      </c>
      <c r="G128" s="6">
        <v>737.09999999999991</v>
      </c>
      <c r="H128" s="2">
        <v>63</v>
      </c>
      <c r="I128" s="2">
        <v>63</v>
      </c>
      <c r="J128" s="4"/>
      <c r="K128" s="4"/>
    </row>
    <row r="129" spans="1:11" x14ac:dyDescent="0.3">
      <c r="A129" s="8" t="s">
        <v>33</v>
      </c>
      <c r="B129" s="8" t="s">
        <v>20</v>
      </c>
      <c r="C129" s="5">
        <f>SUMIFS(sale[Amount],sale[Geography],B129)</f>
        <v>237944</v>
      </c>
      <c r="D129" s="2" t="s">
        <v>43</v>
      </c>
      <c r="E129" s="2">
        <v>5551</v>
      </c>
      <c r="F129" s="2">
        <f>sale[[#This Row],[Amount]]-sale[[#This Row],[Cost]]</f>
        <v>3746.6800000000003</v>
      </c>
      <c r="G129" s="2">
        <v>1804.32</v>
      </c>
      <c r="H129" s="2">
        <v>252</v>
      </c>
      <c r="I129" s="2">
        <v>252</v>
      </c>
      <c r="J129" s="4"/>
      <c r="K129" s="4"/>
    </row>
    <row r="130" spans="1:11" x14ac:dyDescent="0.3">
      <c r="A130" s="5" t="s">
        <v>46</v>
      </c>
      <c r="B130" s="5" t="s">
        <v>20</v>
      </c>
      <c r="C130" s="5">
        <f>SUMIFS(sale[Amount],sale[Geography],B130)</f>
        <v>237944</v>
      </c>
      <c r="D130" s="2" t="s">
        <v>15</v>
      </c>
      <c r="E130" s="2">
        <v>6657</v>
      </c>
      <c r="F130" s="2">
        <f>sale[[#This Row],[Amount]]-sale[[#This Row],[Cost]]</f>
        <v>4036.0499999999997</v>
      </c>
      <c r="G130" s="6">
        <v>2620.9500000000003</v>
      </c>
      <c r="H130" s="2">
        <v>303</v>
      </c>
      <c r="I130" s="2">
        <v>303</v>
      </c>
      <c r="J130" s="4"/>
      <c r="K130" s="4"/>
    </row>
    <row r="131" spans="1:11" x14ac:dyDescent="0.3">
      <c r="A131" s="8" t="s">
        <v>33</v>
      </c>
      <c r="B131" s="8" t="s">
        <v>24</v>
      </c>
      <c r="C131" s="5">
        <f>SUMIFS(sale[Amount],sale[Geography],B131)</f>
        <v>173530</v>
      </c>
      <c r="D131" s="2" t="s">
        <v>28</v>
      </c>
      <c r="E131" s="2">
        <v>4438</v>
      </c>
      <c r="F131" s="2">
        <f>sale[[#This Row],[Amount]]-sale[[#This Row],[Cost]]</f>
        <v>3672.94</v>
      </c>
      <c r="G131" s="2">
        <v>765.06</v>
      </c>
      <c r="H131" s="2">
        <v>246</v>
      </c>
      <c r="I131" s="2">
        <v>246</v>
      </c>
      <c r="J131" s="4"/>
      <c r="K131" s="4"/>
    </row>
    <row r="132" spans="1:11" x14ac:dyDescent="0.3">
      <c r="A132" s="5" t="s">
        <v>13</v>
      </c>
      <c r="B132" s="5" t="s">
        <v>29</v>
      </c>
      <c r="C132" s="5">
        <f>SUMIFS(sale[Amount],sale[Geography],B132)</f>
        <v>168679</v>
      </c>
      <c r="D132" s="2" t="s">
        <v>31</v>
      </c>
      <c r="E132" s="2">
        <v>168</v>
      </c>
      <c r="F132" s="2">
        <f>sale[[#This Row],[Amount]]-sale[[#This Row],[Cost]]</f>
        <v>-652.67999999999995</v>
      </c>
      <c r="G132" s="6">
        <v>820.68</v>
      </c>
      <c r="H132" s="2">
        <v>84</v>
      </c>
      <c r="I132" s="2">
        <v>84</v>
      </c>
      <c r="J132" s="4"/>
      <c r="K132" s="4"/>
    </row>
    <row r="133" spans="1:11" x14ac:dyDescent="0.3">
      <c r="A133" s="8" t="s">
        <v>33</v>
      </c>
      <c r="B133" s="8" t="s">
        <v>41</v>
      </c>
      <c r="C133" s="5">
        <f>SUMIFS(sale[Amount],sale[Geography],B133)</f>
        <v>252469</v>
      </c>
      <c r="D133" s="2" t="s">
        <v>28</v>
      </c>
      <c r="E133" s="2">
        <v>7777</v>
      </c>
      <c r="F133" s="2">
        <f>sale[[#This Row],[Amount]]-sale[[#This Row],[Cost]]</f>
        <v>7655.71</v>
      </c>
      <c r="G133" s="2">
        <v>121.28999999999999</v>
      </c>
      <c r="H133" s="2">
        <v>39</v>
      </c>
      <c r="I133" s="2">
        <v>39</v>
      </c>
      <c r="J133" s="4"/>
      <c r="K133" s="4"/>
    </row>
    <row r="134" spans="1:11" x14ac:dyDescent="0.3">
      <c r="A134" s="5" t="s">
        <v>35</v>
      </c>
      <c r="B134" s="5" t="s">
        <v>20</v>
      </c>
      <c r="C134" s="5">
        <f>SUMIFS(sale[Amount],sale[Geography],B134)</f>
        <v>237944</v>
      </c>
      <c r="D134" s="2" t="s">
        <v>28</v>
      </c>
      <c r="E134" s="2">
        <v>3339</v>
      </c>
      <c r="F134" s="2">
        <f>sale[[#This Row],[Amount]]-sale[[#This Row],[Cost]]</f>
        <v>2256.7200000000003</v>
      </c>
      <c r="G134" s="6">
        <v>1082.28</v>
      </c>
      <c r="H134" s="2">
        <v>348</v>
      </c>
      <c r="I134" s="2">
        <v>348</v>
      </c>
      <c r="J134" s="4"/>
      <c r="K134" s="4"/>
    </row>
    <row r="135" spans="1:11" x14ac:dyDescent="0.3">
      <c r="A135" s="8" t="s">
        <v>33</v>
      </c>
      <c r="B135" s="8" t="s">
        <v>10</v>
      </c>
      <c r="C135" s="5">
        <f>SUMIFS(sale[Amount],sale[Geography],B135)</f>
        <v>218813</v>
      </c>
      <c r="D135" s="2" t="s">
        <v>27</v>
      </c>
      <c r="E135" s="2">
        <v>6391</v>
      </c>
      <c r="F135" s="2">
        <f>sale[[#This Row],[Amount]]-sale[[#This Row],[Cost]]</f>
        <v>5797.24</v>
      </c>
      <c r="G135" s="2">
        <v>593.76</v>
      </c>
      <c r="H135" s="2">
        <v>48</v>
      </c>
      <c r="I135" s="2">
        <v>48</v>
      </c>
      <c r="J135" s="4"/>
      <c r="K135" s="4"/>
    </row>
    <row r="136" spans="1:11" x14ac:dyDescent="0.3">
      <c r="A136" s="5" t="s">
        <v>35</v>
      </c>
      <c r="B136" s="5" t="s">
        <v>10</v>
      </c>
      <c r="C136" s="5">
        <f>SUMIFS(sale[Amount],sale[Geography],B136)</f>
        <v>218813</v>
      </c>
      <c r="D136" s="2" t="s">
        <v>31</v>
      </c>
      <c r="E136" s="2">
        <v>518</v>
      </c>
      <c r="F136" s="2">
        <f>sale[[#This Row],[Amount]]-sale[[#This Row],[Cost]]</f>
        <v>-214.75</v>
      </c>
      <c r="G136" s="6">
        <v>732.75</v>
      </c>
      <c r="H136" s="2">
        <v>75</v>
      </c>
      <c r="I136" s="2">
        <v>75</v>
      </c>
      <c r="J136" s="4"/>
      <c r="K136" s="4"/>
    </row>
    <row r="137" spans="1:11" x14ac:dyDescent="0.3">
      <c r="A137" s="8" t="s">
        <v>33</v>
      </c>
      <c r="B137" s="8" t="s">
        <v>29</v>
      </c>
      <c r="C137" s="5">
        <f>SUMIFS(sale[Amount],sale[Geography],B137)</f>
        <v>168679</v>
      </c>
      <c r="D137" s="2" t="s">
        <v>45</v>
      </c>
      <c r="E137" s="2">
        <v>5677</v>
      </c>
      <c r="F137" s="2">
        <f>sale[[#This Row],[Amount]]-sale[[#This Row],[Cost]]</f>
        <v>2998.9599999999996</v>
      </c>
      <c r="G137" s="2">
        <v>2678.0400000000004</v>
      </c>
      <c r="H137" s="2">
        <v>258</v>
      </c>
      <c r="I137" s="2">
        <v>258</v>
      </c>
      <c r="J137" s="4"/>
      <c r="K137" s="4"/>
    </row>
    <row r="138" spans="1:11" x14ac:dyDescent="0.3">
      <c r="A138" s="5" t="s">
        <v>23</v>
      </c>
      <c r="B138" s="5" t="s">
        <v>24</v>
      </c>
      <c r="C138" s="5">
        <f>SUMIFS(sale[Amount],sale[Geography],B138)</f>
        <v>173530</v>
      </c>
      <c r="D138" s="2" t="s">
        <v>28</v>
      </c>
      <c r="E138" s="2">
        <v>6048</v>
      </c>
      <c r="F138" s="2">
        <f>sale[[#This Row],[Amount]]-sale[[#This Row],[Cost]]</f>
        <v>5964.03</v>
      </c>
      <c r="G138" s="6">
        <v>83.97</v>
      </c>
      <c r="H138" s="2">
        <v>27</v>
      </c>
      <c r="I138" s="2">
        <v>27</v>
      </c>
      <c r="J138" s="4"/>
      <c r="K138" s="4"/>
    </row>
    <row r="139" spans="1:11" x14ac:dyDescent="0.3">
      <c r="A139" s="8" t="s">
        <v>13</v>
      </c>
      <c r="B139" s="8" t="s">
        <v>29</v>
      </c>
      <c r="C139" s="5">
        <f>SUMIFS(sale[Amount],sale[Geography],B139)</f>
        <v>168679</v>
      </c>
      <c r="D139" s="2" t="s">
        <v>15</v>
      </c>
      <c r="E139" s="2">
        <v>3752</v>
      </c>
      <c r="F139" s="2">
        <f>sale[[#This Row],[Amount]]-sale[[#This Row],[Cost]]</f>
        <v>1909.55</v>
      </c>
      <c r="G139" s="2">
        <v>1842.45</v>
      </c>
      <c r="H139" s="2">
        <v>213</v>
      </c>
      <c r="I139" s="2">
        <v>213</v>
      </c>
      <c r="J139" s="4"/>
      <c r="K139" s="4"/>
    </row>
    <row r="140" spans="1:11" x14ac:dyDescent="0.3">
      <c r="A140" s="5" t="s">
        <v>35</v>
      </c>
      <c r="B140" s="5" t="s">
        <v>14</v>
      </c>
      <c r="C140" s="5">
        <f>SUMIFS(sale[Amount],sale[Geography],B140)</f>
        <v>189434</v>
      </c>
      <c r="D140" s="2" t="s">
        <v>43</v>
      </c>
      <c r="E140" s="2">
        <v>4480</v>
      </c>
      <c r="F140" s="2">
        <f>sale[[#This Row],[Amount]]-sale[[#This Row],[Cost]]</f>
        <v>1923.88</v>
      </c>
      <c r="G140" s="6">
        <v>2556.12</v>
      </c>
      <c r="H140" s="2">
        <v>357</v>
      </c>
      <c r="I140" s="2">
        <v>357</v>
      </c>
      <c r="J140" s="4"/>
      <c r="K140" s="4"/>
    </row>
    <row r="141" spans="1:11" x14ac:dyDescent="0.3">
      <c r="A141" s="8" t="s">
        <v>17</v>
      </c>
      <c r="B141" s="8" t="s">
        <v>10</v>
      </c>
      <c r="C141" s="5">
        <f>SUMIFS(sale[Amount],sale[Geography],B141)</f>
        <v>218813</v>
      </c>
      <c r="D141" s="2" t="s">
        <v>18</v>
      </c>
      <c r="E141" s="2">
        <v>259</v>
      </c>
      <c r="F141" s="2">
        <f>sale[[#This Row],[Amount]]-sale[[#This Row],[Cost]]</f>
        <v>-2200.1600000000003</v>
      </c>
      <c r="G141" s="2">
        <v>2459.1600000000003</v>
      </c>
      <c r="H141" s="2">
        <v>207</v>
      </c>
      <c r="I141" s="2">
        <v>207</v>
      </c>
      <c r="J141" s="4"/>
      <c r="K141" s="4"/>
    </row>
    <row r="142" spans="1:11" x14ac:dyDescent="0.3">
      <c r="A142" s="5" t="s">
        <v>13</v>
      </c>
      <c r="B142" s="5" t="s">
        <v>10</v>
      </c>
      <c r="C142" s="5">
        <f>SUMIFS(sale[Amount],sale[Geography],B142)</f>
        <v>218813</v>
      </c>
      <c r="D142" s="2" t="s">
        <v>11</v>
      </c>
      <c r="E142" s="2">
        <v>42</v>
      </c>
      <c r="F142" s="2">
        <f>sale[[#This Row],[Amount]]-sale[[#This Row],[Cost]]</f>
        <v>-2131.5</v>
      </c>
      <c r="G142" s="6">
        <v>2173.5</v>
      </c>
      <c r="H142" s="2">
        <v>150</v>
      </c>
      <c r="I142" s="2">
        <v>150</v>
      </c>
      <c r="J142" s="4"/>
      <c r="K142" s="4"/>
    </row>
    <row r="143" spans="1:11" x14ac:dyDescent="0.3">
      <c r="A143" s="8" t="s">
        <v>19</v>
      </c>
      <c r="B143" s="8" t="s">
        <v>20</v>
      </c>
      <c r="C143" s="5">
        <f>SUMIFS(sale[Amount],sale[Geography],B143)</f>
        <v>237944</v>
      </c>
      <c r="D143" s="2" t="s">
        <v>42</v>
      </c>
      <c r="E143" s="2">
        <v>98</v>
      </c>
      <c r="F143" s="2">
        <f>sale[[#This Row],[Amount]]-sale[[#This Row],[Cost]]</f>
        <v>-1044.3999999999999</v>
      </c>
      <c r="G143" s="2">
        <v>1142.3999999999999</v>
      </c>
      <c r="H143" s="2">
        <v>204</v>
      </c>
      <c r="I143" s="2">
        <v>204</v>
      </c>
      <c r="J143" s="4"/>
      <c r="K143" s="4"/>
    </row>
    <row r="144" spans="1:11" x14ac:dyDescent="0.3">
      <c r="A144" s="5" t="s">
        <v>33</v>
      </c>
      <c r="B144" s="5" t="s">
        <v>14</v>
      </c>
      <c r="C144" s="5">
        <f>SUMIFS(sale[Amount],sale[Geography],B144)</f>
        <v>189434</v>
      </c>
      <c r="D144" s="2" t="s">
        <v>44</v>
      </c>
      <c r="E144" s="2">
        <v>2478</v>
      </c>
      <c r="F144" s="2">
        <f>sale[[#This Row],[Amount]]-sale[[#This Row],[Cost]]</f>
        <v>2126.67</v>
      </c>
      <c r="G144" s="6">
        <v>351.33</v>
      </c>
      <c r="H144" s="2">
        <v>21</v>
      </c>
      <c r="I144" s="2">
        <v>21</v>
      </c>
      <c r="J144" s="4"/>
      <c r="K144" s="4"/>
    </row>
    <row r="145" spans="1:11" x14ac:dyDescent="0.3">
      <c r="A145" s="8" t="s">
        <v>19</v>
      </c>
      <c r="B145" s="8" t="s">
        <v>41</v>
      </c>
      <c r="C145" s="5">
        <f>SUMIFS(sale[Amount],sale[Geography],B145)</f>
        <v>252469</v>
      </c>
      <c r="D145" s="2" t="s">
        <v>27</v>
      </c>
      <c r="E145" s="2">
        <v>7847</v>
      </c>
      <c r="F145" s="2">
        <f>sale[[#This Row],[Amount]]-sale[[#This Row],[Cost]]</f>
        <v>5694.6200000000008</v>
      </c>
      <c r="G145" s="2">
        <v>2152.3799999999997</v>
      </c>
      <c r="H145" s="2">
        <v>174</v>
      </c>
      <c r="I145" s="2">
        <v>174</v>
      </c>
      <c r="J145" s="4"/>
      <c r="K145" s="4"/>
    </row>
    <row r="146" spans="1:11" x14ac:dyDescent="0.3">
      <c r="A146" s="5" t="s">
        <v>37</v>
      </c>
      <c r="B146" s="5" t="s">
        <v>10</v>
      </c>
      <c r="C146" s="5">
        <f>SUMIFS(sale[Amount],sale[Geography],B146)</f>
        <v>218813</v>
      </c>
      <c r="D146" s="2" t="s">
        <v>28</v>
      </c>
      <c r="E146" s="2">
        <v>9926</v>
      </c>
      <c r="F146" s="2">
        <f>sale[[#This Row],[Amount]]-sale[[#This Row],[Cost]]</f>
        <v>9300.89</v>
      </c>
      <c r="G146" s="6">
        <v>625.11</v>
      </c>
      <c r="H146" s="2">
        <v>201</v>
      </c>
      <c r="I146" s="2">
        <v>201</v>
      </c>
      <c r="J146" s="4"/>
      <c r="K146" s="4"/>
    </row>
    <row r="147" spans="1:11" x14ac:dyDescent="0.3">
      <c r="A147" s="8" t="s">
        <v>13</v>
      </c>
      <c r="B147" s="8" t="s">
        <v>29</v>
      </c>
      <c r="C147" s="5">
        <f>SUMIFS(sale[Amount],sale[Geography],B147)</f>
        <v>168679</v>
      </c>
      <c r="D147" s="2" t="s">
        <v>12</v>
      </c>
      <c r="E147" s="2">
        <v>819</v>
      </c>
      <c r="F147" s="2">
        <f>sale[[#This Row],[Amount]]-sale[[#This Row],[Cost]]</f>
        <v>-3939.3</v>
      </c>
      <c r="G147" s="2">
        <v>4758.3</v>
      </c>
      <c r="H147" s="2">
        <v>510</v>
      </c>
      <c r="I147" s="2">
        <v>510</v>
      </c>
      <c r="J147" s="4"/>
      <c r="K147" s="4"/>
    </row>
    <row r="148" spans="1:11" x14ac:dyDescent="0.3">
      <c r="A148" s="5" t="s">
        <v>23</v>
      </c>
      <c r="B148" s="5" t="s">
        <v>24</v>
      </c>
      <c r="C148" s="5">
        <f>SUMIFS(sale[Amount],sale[Geography],B148)</f>
        <v>173530</v>
      </c>
      <c r="D148" s="2" t="s">
        <v>43</v>
      </c>
      <c r="E148" s="2">
        <v>3052</v>
      </c>
      <c r="F148" s="2">
        <f>sale[[#This Row],[Amount]]-sale[[#This Row],[Cost]]</f>
        <v>345.52</v>
      </c>
      <c r="G148" s="6">
        <v>2706.48</v>
      </c>
      <c r="H148" s="2">
        <v>378</v>
      </c>
      <c r="I148" s="2">
        <v>378</v>
      </c>
      <c r="J148" s="4"/>
      <c r="K148" s="4"/>
    </row>
    <row r="149" spans="1:11" x14ac:dyDescent="0.3">
      <c r="A149" s="8" t="s">
        <v>17</v>
      </c>
      <c r="B149" s="8" t="s">
        <v>41</v>
      </c>
      <c r="C149" s="5">
        <f>SUMIFS(sale[Amount],sale[Geography],B149)</f>
        <v>252469</v>
      </c>
      <c r="D149" s="2" t="s">
        <v>36</v>
      </c>
      <c r="E149" s="2">
        <v>6832</v>
      </c>
      <c r="F149" s="2">
        <f>sale[[#This Row],[Amount]]-sale[[#This Row],[Cost]]</f>
        <v>6589</v>
      </c>
      <c r="G149" s="2">
        <v>243</v>
      </c>
      <c r="H149" s="2">
        <v>27</v>
      </c>
      <c r="I149" s="2">
        <v>27</v>
      </c>
      <c r="J149" s="4"/>
      <c r="K149" s="4"/>
    </row>
    <row r="150" spans="1:11" x14ac:dyDescent="0.3">
      <c r="A150" s="5" t="s">
        <v>37</v>
      </c>
      <c r="B150" s="5" t="s">
        <v>24</v>
      </c>
      <c r="C150" s="5">
        <f>SUMIFS(sale[Amount],sale[Geography],B150)</f>
        <v>173530</v>
      </c>
      <c r="D150" s="2" t="s">
        <v>26</v>
      </c>
      <c r="E150" s="2">
        <v>2016</v>
      </c>
      <c r="F150" s="2">
        <f>sale[[#This Row],[Amount]]-sale[[#This Row],[Cost]]</f>
        <v>987.57000000000016</v>
      </c>
      <c r="G150" s="6">
        <v>1028.4299999999998</v>
      </c>
      <c r="H150" s="2">
        <v>117</v>
      </c>
      <c r="I150" s="2">
        <v>117</v>
      </c>
      <c r="J150" s="4"/>
      <c r="K150" s="4"/>
    </row>
    <row r="151" spans="1:11" x14ac:dyDescent="0.3">
      <c r="A151" s="8" t="s">
        <v>23</v>
      </c>
      <c r="B151" s="8" t="s">
        <v>29</v>
      </c>
      <c r="C151" s="5">
        <f>SUMIFS(sale[Amount],sale[Geography],B151)</f>
        <v>168679</v>
      </c>
      <c r="D151" s="2" t="s">
        <v>36</v>
      </c>
      <c r="E151" s="2">
        <v>7322</v>
      </c>
      <c r="F151" s="2">
        <f>sale[[#This Row],[Amount]]-sale[[#This Row],[Cost]]</f>
        <v>6998</v>
      </c>
      <c r="G151" s="2">
        <v>324</v>
      </c>
      <c r="H151" s="2">
        <v>36</v>
      </c>
      <c r="I151" s="2">
        <v>36</v>
      </c>
      <c r="J151" s="4"/>
      <c r="K151" s="4"/>
    </row>
    <row r="152" spans="1:11" x14ac:dyDescent="0.3">
      <c r="A152" s="5" t="s">
        <v>13</v>
      </c>
      <c r="B152" s="5" t="s">
        <v>14</v>
      </c>
      <c r="C152" s="5">
        <f>SUMIFS(sale[Amount],sale[Geography],B152)</f>
        <v>189434</v>
      </c>
      <c r="D152" s="2" t="s">
        <v>27</v>
      </c>
      <c r="E152" s="2">
        <v>357</v>
      </c>
      <c r="F152" s="2">
        <f>sale[[#This Row],[Amount]]-sale[[#This Row],[Cost]]</f>
        <v>-1201.6199999999999</v>
      </c>
      <c r="G152" s="6">
        <v>1558.62</v>
      </c>
      <c r="H152" s="2">
        <v>126</v>
      </c>
      <c r="I152" s="2">
        <v>126</v>
      </c>
      <c r="J152" s="4"/>
      <c r="K152" s="4"/>
    </row>
    <row r="153" spans="1:11" x14ac:dyDescent="0.3">
      <c r="A153" s="8" t="s">
        <v>17</v>
      </c>
      <c r="B153" s="8" t="s">
        <v>24</v>
      </c>
      <c r="C153" s="5">
        <f>SUMIFS(sale[Amount],sale[Geography],B153)</f>
        <v>173530</v>
      </c>
      <c r="D153" s="2" t="s">
        <v>25</v>
      </c>
      <c r="E153" s="2">
        <v>3192</v>
      </c>
      <c r="F153" s="2">
        <f>sale[[#This Row],[Amount]]-sale[[#This Row],[Cost]]</f>
        <v>2245.1999999999998</v>
      </c>
      <c r="G153" s="2">
        <v>946.80000000000007</v>
      </c>
      <c r="H153" s="2">
        <v>72</v>
      </c>
      <c r="I153" s="2">
        <v>72</v>
      </c>
      <c r="J153" s="4"/>
      <c r="K153" s="4"/>
    </row>
    <row r="154" spans="1:11" x14ac:dyDescent="0.3">
      <c r="A154" s="5" t="s">
        <v>33</v>
      </c>
      <c r="B154" s="5" t="s">
        <v>20</v>
      </c>
      <c r="C154" s="5">
        <f>SUMIFS(sale[Amount],sale[Geography],B154)</f>
        <v>237944</v>
      </c>
      <c r="D154" s="2" t="s">
        <v>31</v>
      </c>
      <c r="E154" s="2">
        <v>8435</v>
      </c>
      <c r="F154" s="2">
        <f>sale[[#This Row],[Amount]]-sale[[#This Row],[Cost]]</f>
        <v>8024.66</v>
      </c>
      <c r="G154" s="6">
        <v>410.34</v>
      </c>
      <c r="H154" s="2">
        <v>42</v>
      </c>
      <c r="I154" s="2">
        <v>42</v>
      </c>
      <c r="J154" s="4"/>
      <c r="K154" s="4"/>
    </row>
    <row r="155" spans="1:11" x14ac:dyDescent="0.3">
      <c r="A155" s="8" t="s">
        <v>9</v>
      </c>
      <c r="B155" s="8" t="s">
        <v>24</v>
      </c>
      <c r="C155" s="5">
        <f>SUMIFS(sale[Amount],sale[Geography],B155)</f>
        <v>173530</v>
      </c>
      <c r="D155" s="2" t="s">
        <v>43</v>
      </c>
      <c r="E155" s="2">
        <v>0</v>
      </c>
      <c r="F155" s="2">
        <f>sale[[#This Row],[Amount]]-sale[[#This Row],[Cost]]</f>
        <v>-966.6</v>
      </c>
      <c r="G155" s="2">
        <v>966.6</v>
      </c>
      <c r="H155" s="2">
        <v>135</v>
      </c>
      <c r="I155" s="2">
        <v>135</v>
      </c>
      <c r="J155" s="4"/>
      <c r="K155" s="4"/>
    </row>
    <row r="156" spans="1:11" x14ac:dyDescent="0.3">
      <c r="A156" s="5" t="s">
        <v>33</v>
      </c>
      <c r="B156" s="5" t="s">
        <v>41</v>
      </c>
      <c r="C156" s="5">
        <f>SUMIFS(sale[Amount],sale[Geography],B156)</f>
        <v>252469</v>
      </c>
      <c r="D156" s="2" t="s">
        <v>40</v>
      </c>
      <c r="E156" s="2">
        <v>8862</v>
      </c>
      <c r="F156" s="2">
        <f>sale[[#This Row],[Amount]]-sale[[#This Row],[Cost]]</f>
        <v>7922.67</v>
      </c>
      <c r="G156" s="6">
        <v>939.32999999999993</v>
      </c>
      <c r="H156" s="2">
        <v>189</v>
      </c>
      <c r="I156" s="2">
        <v>189</v>
      </c>
      <c r="J156" s="4"/>
      <c r="K156" s="4"/>
    </row>
    <row r="157" spans="1:11" x14ac:dyDescent="0.3">
      <c r="A157" s="8" t="s">
        <v>23</v>
      </c>
      <c r="B157" s="8" t="s">
        <v>10</v>
      </c>
      <c r="C157" s="5">
        <f>SUMIFS(sale[Amount],sale[Geography],B157)</f>
        <v>218813</v>
      </c>
      <c r="D157" s="2" t="s">
        <v>45</v>
      </c>
      <c r="E157" s="2">
        <v>3556</v>
      </c>
      <c r="F157" s="2">
        <f>sale[[#This Row],[Amount]]-sale[[#This Row],[Cost]]</f>
        <v>-1208.42</v>
      </c>
      <c r="G157" s="2">
        <v>4764.42</v>
      </c>
      <c r="H157" s="2">
        <v>459</v>
      </c>
      <c r="I157" s="2">
        <v>459</v>
      </c>
      <c r="J157" s="4"/>
      <c r="K157" s="4"/>
    </row>
    <row r="158" spans="1:11" x14ac:dyDescent="0.3">
      <c r="A158" s="5" t="s">
        <v>35</v>
      </c>
      <c r="B158" s="5" t="s">
        <v>41</v>
      </c>
      <c r="C158" s="5">
        <f>SUMIFS(sale[Amount],sale[Geography],B158)</f>
        <v>252469</v>
      </c>
      <c r="D158" s="2" t="s">
        <v>22</v>
      </c>
      <c r="E158" s="2">
        <v>7280</v>
      </c>
      <c r="F158" s="2">
        <f>sale[[#This Row],[Amount]]-sale[[#This Row],[Cost]]</f>
        <v>4922.2700000000004</v>
      </c>
      <c r="G158" s="6">
        <v>2357.73</v>
      </c>
      <c r="H158" s="2">
        <v>201</v>
      </c>
      <c r="I158" s="2">
        <v>201</v>
      </c>
      <c r="J158" s="4"/>
      <c r="K158" s="4"/>
    </row>
    <row r="159" spans="1:11" x14ac:dyDescent="0.3">
      <c r="A159" s="8" t="s">
        <v>23</v>
      </c>
      <c r="B159" s="8" t="s">
        <v>41</v>
      </c>
      <c r="C159" s="5">
        <f>SUMIFS(sale[Amount],sale[Geography],B159)</f>
        <v>252469</v>
      </c>
      <c r="D159" s="2" t="s">
        <v>11</v>
      </c>
      <c r="E159" s="2">
        <v>3402</v>
      </c>
      <c r="F159" s="2">
        <f>sale[[#This Row],[Amount]]-sale[[#This Row],[Cost]]</f>
        <v>-1901.3400000000001</v>
      </c>
      <c r="G159" s="2">
        <v>5303.34</v>
      </c>
      <c r="H159" s="2">
        <v>366</v>
      </c>
      <c r="I159" s="2">
        <v>366</v>
      </c>
      <c r="J159" s="4"/>
      <c r="K159" s="4"/>
    </row>
    <row r="160" spans="1:11" x14ac:dyDescent="0.3">
      <c r="A160" s="5" t="s">
        <v>38</v>
      </c>
      <c r="B160" s="5" t="s">
        <v>10</v>
      </c>
      <c r="C160" s="5">
        <f>SUMIFS(sale[Amount],sale[Geography],B160)</f>
        <v>218813</v>
      </c>
      <c r="D160" s="2" t="s">
        <v>43</v>
      </c>
      <c r="E160" s="2">
        <v>4592</v>
      </c>
      <c r="F160" s="2">
        <f>sale[[#This Row],[Amount]]-sale[[#This Row],[Cost]]</f>
        <v>2272.16</v>
      </c>
      <c r="G160" s="6">
        <v>2319.84</v>
      </c>
      <c r="H160" s="2">
        <v>324</v>
      </c>
      <c r="I160" s="2">
        <v>324</v>
      </c>
      <c r="J160" s="4"/>
      <c r="K160" s="4"/>
    </row>
    <row r="161" spans="1:11" x14ac:dyDescent="0.3">
      <c r="A161" s="8" t="s">
        <v>17</v>
      </c>
      <c r="B161" s="8" t="s">
        <v>14</v>
      </c>
      <c r="C161" s="5">
        <f>SUMIFS(sale[Amount],sale[Geography],B161)</f>
        <v>189434</v>
      </c>
      <c r="D161" s="2" t="s">
        <v>22</v>
      </c>
      <c r="E161" s="2">
        <v>7833</v>
      </c>
      <c r="F161" s="2">
        <f>sale[[#This Row],[Amount]]-sale[[#This Row],[Cost]]</f>
        <v>4982.6099999999997</v>
      </c>
      <c r="G161" s="2">
        <v>2850.3900000000003</v>
      </c>
      <c r="H161" s="2">
        <v>243</v>
      </c>
      <c r="I161" s="2">
        <v>243</v>
      </c>
      <c r="J161" s="4"/>
      <c r="K161" s="4"/>
    </row>
    <row r="162" spans="1:11" x14ac:dyDescent="0.3">
      <c r="A162" s="5" t="s">
        <v>37</v>
      </c>
      <c r="B162" s="5" t="s">
        <v>24</v>
      </c>
      <c r="C162" s="5">
        <f>SUMIFS(sale[Amount],sale[Geography],B162)</f>
        <v>173530</v>
      </c>
      <c r="D162" s="2" t="s">
        <v>36</v>
      </c>
      <c r="E162" s="2">
        <v>7651</v>
      </c>
      <c r="F162" s="2">
        <f>sale[[#This Row],[Amount]]-sale[[#This Row],[Cost]]</f>
        <v>5734</v>
      </c>
      <c r="G162" s="6">
        <v>1917</v>
      </c>
      <c r="H162" s="2">
        <v>213</v>
      </c>
      <c r="I162" s="2">
        <v>213</v>
      </c>
      <c r="J162" s="4"/>
      <c r="K162" s="4"/>
    </row>
    <row r="163" spans="1:11" x14ac:dyDescent="0.3">
      <c r="A163" s="8" t="s">
        <v>9</v>
      </c>
      <c r="B163" s="8" t="s">
        <v>14</v>
      </c>
      <c r="C163" s="5">
        <f>SUMIFS(sale[Amount],sale[Geography],B163)</f>
        <v>189434</v>
      </c>
      <c r="D163" s="2" t="s">
        <v>11</v>
      </c>
      <c r="E163" s="2">
        <v>2275</v>
      </c>
      <c r="F163" s="2">
        <f>sale[[#This Row],[Amount]]-sale[[#This Row],[Cost]]</f>
        <v>-4202.03</v>
      </c>
      <c r="G163" s="2">
        <v>6477.03</v>
      </c>
      <c r="H163" s="2">
        <v>447</v>
      </c>
      <c r="I163" s="2">
        <v>447</v>
      </c>
      <c r="J163" s="4"/>
      <c r="K163" s="4"/>
    </row>
    <row r="164" spans="1:11" x14ac:dyDescent="0.3">
      <c r="A164" s="5" t="s">
        <v>9</v>
      </c>
      <c r="B164" s="5" t="s">
        <v>29</v>
      </c>
      <c r="C164" s="5">
        <f>SUMIFS(sale[Amount],sale[Geography],B164)</f>
        <v>168679</v>
      </c>
      <c r="D164" s="2" t="s">
        <v>12</v>
      </c>
      <c r="E164" s="2">
        <v>5670</v>
      </c>
      <c r="F164" s="2">
        <f>sale[[#This Row],[Amount]]-sale[[#This Row],[Cost]]</f>
        <v>2898.99</v>
      </c>
      <c r="G164" s="6">
        <v>2771.01</v>
      </c>
      <c r="H164" s="2">
        <v>297</v>
      </c>
      <c r="I164" s="2">
        <v>297</v>
      </c>
      <c r="J164" s="4"/>
      <c r="K164" s="4"/>
    </row>
    <row r="165" spans="1:11" x14ac:dyDescent="0.3">
      <c r="A165" s="8" t="s">
        <v>33</v>
      </c>
      <c r="B165" s="8" t="s">
        <v>14</v>
      </c>
      <c r="C165" s="5">
        <f>SUMIFS(sale[Amount],sale[Geography],B165)</f>
        <v>189434</v>
      </c>
      <c r="D165" s="2" t="s">
        <v>26</v>
      </c>
      <c r="E165" s="2">
        <v>2135</v>
      </c>
      <c r="F165" s="2">
        <f>sale[[#This Row],[Amount]]-sale[[#This Row],[Cost]]</f>
        <v>1897.67</v>
      </c>
      <c r="G165" s="2">
        <v>237.32999999999998</v>
      </c>
      <c r="H165" s="2">
        <v>27</v>
      </c>
      <c r="I165" s="2">
        <v>27</v>
      </c>
      <c r="J165" s="4"/>
      <c r="K165" s="4"/>
    </row>
    <row r="166" spans="1:11" x14ac:dyDescent="0.3">
      <c r="A166" s="5" t="s">
        <v>9</v>
      </c>
      <c r="B166" s="5" t="s">
        <v>41</v>
      </c>
      <c r="C166" s="5">
        <f>SUMIFS(sale[Amount],sale[Geography],B166)</f>
        <v>252469</v>
      </c>
      <c r="D166" s="2" t="s">
        <v>39</v>
      </c>
      <c r="E166" s="2">
        <v>2779</v>
      </c>
      <c r="F166" s="2">
        <f>sale[[#This Row],[Amount]]-sale[[#This Row],[Cost]]</f>
        <v>2292.25</v>
      </c>
      <c r="G166" s="6">
        <v>486.75</v>
      </c>
      <c r="H166" s="2">
        <v>75</v>
      </c>
      <c r="I166" s="2">
        <v>75</v>
      </c>
      <c r="J166" s="4"/>
      <c r="K166" s="4"/>
    </row>
    <row r="167" spans="1:11" x14ac:dyDescent="0.3">
      <c r="A167" s="8" t="s">
        <v>46</v>
      </c>
      <c r="B167" s="8" t="s">
        <v>24</v>
      </c>
      <c r="C167" s="5">
        <f>SUMIFS(sale[Amount],sale[Geography],B167)</f>
        <v>173530</v>
      </c>
      <c r="D167" s="2" t="s">
        <v>27</v>
      </c>
      <c r="E167" s="2">
        <v>12950</v>
      </c>
      <c r="F167" s="2">
        <f>sale[[#This Row],[Amount]]-sale[[#This Row],[Cost]]</f>
        <v>12578.9</v>
      </c>
      <c r="G167" s="2">
        <v>371.09999999999997</v>
      </c>
      <c r="H167" s="2">
        <v>30</v>
      </c>
      <c r="I167" s="2">
        <v>30</v>
      </c>
      <c r="J167" s="4"/>
      <c r="K167" s="4"/>
    </row>
    <row r="168" spans="1:11" x14ac:dyDescent="0.3">
      <c r="A168" s="5" t="s">
        <v>33</v>
      </c>
      <c r="B168" s="5" t="s">
        <v>20</v>
      </c>
      <c r="C168" s="5">
        <f>SUMIFS(sale[Amount],sale[Geography],B168)</f>
        <v>237944</v>
      </c>
      <c r="D168" s="2" t="s">
        <v>21</v>
      </c>
      <c r="E168" s="2">
        <v>2646</v>
      </c>
      <c r="F168" s="2">
        <f>sale[[#This Row],[Amount]]-sale[[#This Row],[Cost]]</f>
        <v>1500.81</v>
      </c>
      <c r="G168" s="6">
        <v>1145.19</v>
      </c>
      <c r="H168" s="2">
        <v>177</v>
      </c>
      <c r="I168" s="2">
        <v>177</v>
      </c>
      <c r="J168" s="4"/>
      <c r="K168" s="4"/>
    </row>
    <row r="169" spans="1:11" x14ac:dyDescent="0.3">
      <c r="A169" s="8" t="s">
        <v>9</v>
      </c>
      <c r="B169" s="8" t="s">
        <v>41</v>
      </c>
      <c r="C169" s="5">
        <f>SUMIFS(sale[Amount],sale[Geography],B169)</f>
        <v>252469</v>
      </c>
      <c r="D169" s="2" t="s">
        <v>27</v>
      </c>
      <c r="E169" s="2">
        <v>3794</v>
      </c>
      <c r="F169" s="2">
        <f>sale[[#This Row],[Amount]]-sale[[#This Row],[Cost]]</f>
        <v>1827.17</v>
      </c>
      <c r="G169" s="2">
        <v>1966.83</v>
      </c>
      <c r="H169" s="2">
        <v>159</v>
      </c>
      <c r="I169" s="2">
        <v>159</v>
      </c>
      <c r="J169" s="4"/>
      <c r="K169" s="4"/>
    </row>
    <row r="170" spans="1:11" x14ac:dyDescent="0.3">
      <c r="A170" s="5" t="s">
        <v>38</v>
      </c>
      <c r="B170" s="5" t="s">
        <v>14</v>
      </c>
      <c r="C170" s="5">
        <f>SUMIFS(sale[Amount],sale[Geography],B170)</f>
        <v>189434</v>
      </c>
      <c r="D170" s="2" t="s">
        <v>27</v>
      </c>
      <c r="E170" s="2">
        <v>819</v>
      </c>
      <c r="F170" s="2">
        <f>sale[[#This Row],[Amount]]-sale[[#This Row],[Cost]]</f>
        <v>-2966.22</v>
      </c>
      <c r="G170" s="6">
        <v>3785.22</v>
      </c>
      <c r="H170" s="2">
        <v>306</v>
      </c>
      <c r="I170" s="2">
        <v>306</v>
      </c>
      <c r="J170" s="4"/>
      <c r="K170" s="4"/>
    </row>
    <row r="171" spans="1:11" x14ac:dyDescent="0.3">
      <c r="A171" s="8" t="s">
        <v>38</v>
      </c>
      <c r="B171" s="8" t="s">
        <v>41</v>
      </c>
      <c r="C171" s="5">
        <f>SUMIFS(sale[Amount],sale[Geography],B171)</f>
        <v>252469</v>
      </c>
      <c r="D171" s="2" t="s">
        <v>34</v>
      </c>
      <c r="E171" s="2">
        <v>2583</v>
      </c>
      <c r="F171" s="2">
        <f>sale[[#This Row],[Amount]]-sale[[#This Row],[Cost]]</f>
        <v>2391.84</v>
      </c>
      <c r="G171" s="2">
        <v>191.16</v>
      </c>
      <c r="H171" s="2">
        <v>18</v>
      </c>
      <c r="I171" s="2">
        <v>18</v>
      </c>
      <c r="J171" s="4"/>
      <c r="K171" s="4"/>
    </row>
    <row r="172" spans="1:11" x14ac:dyDescent="0.3">
      <c r="A172" s="5" t="s">
        <v>33</v>
      </c>
      <c r="B172" s="5" t="s">
        <v>14</v>
      </c>
      <c r="C172" s="5">
        <f>SUMIFS(sale[Amount],sale[Geography],B172)</f>
        <v>189434</v>
      </c>
      <c r="D172" s="2" t="s">
        <v>32</v>
      </c>
      <c r="E172" s="2">
        <v>4585</v>
      </c>
      <c r="F172" s="2">
        <f>sale[[#This Row],[Amount]]-sale[[#This Row],[Cost]]</f>
        <v>2751.4</v>
      </c>
      <c r="G172" s="6">
        <v>1833.6</v>
      </c>
      <c r="H172" s="2">
        <v>240</v>
      </c>
      <c r="I172" s="2">
        <v>240</v>
      </c>
      <c r="J172" s="4"/>
      <c r="K172" s="4"/>
    </row>
    <row r="173" spans="1:11" x14ac:dyDescent="0.3">
      <c r="A173" s="8" t="s">
        <v>35</v>
      </c>
      <c r="B173" s="8" t="s">
        <v>41</v>
      </c>
      <c r="C173" s="5">
        <f>SUMIFS(sale[Amount],sale[Geography],B173)</f>
        <v>252469</v>
      </c>
      <c r="D173" s="2" t="s">
        <v>27</v>
      </c>
      <c r="E173" s="2">
        <v>1652</v>
      </c>
      <c r="F173" s="2">
        <f>sale[[#This Row],[Amount]]-sale[[#This Row],[Cost]]</f>
        <v>501.59000000000015</v>
      </c>
      <c r="G173" s="2">
        <v>1150.4099999999999</v>
      </c>
      <c r="H173" s="2">
        <v>93</v>
      </c>
      <c r="I173" s="2">
        <v>93</v>
      </c>
      <c r="J173" s="4"/>
      <c r="K173" s="4"/>
    </row>
    <row r="174" spans="1:11" x14ac:dyDescent="0.3">
      <c r="A174" s="5" t="s">
        <v>46</v>
      </c>
      <c r="B174" s="5" t="s">
        <v>41</v>
      </c>
      <c r="C174" s="5">
        <f>SUMIFS(sale[Amount],sale[Geography],B174)</f>
        <v>252469</v>
      </c>
      <c r="D174" s="2" t="s">
        <v>42</v>
      </c>
      <c r="E174" s="2">
        <v>4991</v>
      </c>
      <c r="F174" s="2">
        <f>sale[[#This Row],[Amount]]-sale[[#This Row],[Cost]]</f>
        <v>4940.6000000000004</v>
      </c>
      <c r="G174" s="6">
        <v>50.4</v>
      </c>
      <c r="H174" s="2">
        <v>9</v>
      </c>
      <c r="I174" s="2">
        <v>9</v>
      </c>
      <c r="J174" s="4"/>
      <c r="K174" s="4"/>
    </row>
    <row r="175" spans="1:11" x14ac:dyDescent="0.3">
      <c r="A175" s="8" t="s">
        <v>13</v>
      </c>
      <c r="B175" s="8" t="s">
        <v>41</v>
      </c>
      <c r="C175" s="5">
        <f>SUMIFS(sale[Amount],sale[Geography],B175)</f>
        <v>252469</v>
      </c>
      <c r="D175" s="2" t="s">
        <v>26</v>
      </c>
      <c r="E175" s="2">
        <v>2009</v>
      </c>
      <c r="F175" s="2">
        <f>sale[[#This Row],[Amount]]-sale[[#This Row],[Cost]]</f>
        <v>83.990000000000236</v>
      </c>
      <c r="G175" s="2">
        <v>1925.0099999999998</v>
      </c>
      <c r="H175" s="2">
        <v>219</v>
      </c>
      <c r="I175" s="2">
        <v>219</v>
      </c>
      <c r="J175" s="4"/>
      <c r="K175" s="4"/>
    </row>
    <row r="176" spans="1:11" x14ac:dyDescent="0.3">
      <c r="A176" s="5" t="s">
        <v>37</v>
      </c>
      <c r="B176" s="5" t="s">
        <v>24</v>
      </c>
      <c r="C176" s="5">
        <f>SUMIFS(sale[Amount],sale[Geography],B176)</f>
        <v>173530</v>
      </c>
      <c r="D176" s="2" t="s">
        <v>31</v>
      </c>
      <c r="E176" s="2">
        <v>1568</v>
      </c>
      <c r="F176" s="2">
        <f>sale[[#This Row],[Amount]]-sale[[#This Row],[Cost]]</f>
        <v>190.43000000000006</v>
      </c>
      <c r="G176" s="6">
        <v>1377.57</v>
      </c>
      <c r="H176" s="2">
        <v>141</v>
      </c>
      <c r="I176" s="2">
        <v>141</v>
      </c>
      <c r="J176" s="4"/>
      <c r="K176" s="4"/>
    </row>
    <row r="177" spans="1:11" x14ac:dyDescent="0.3">
      <c r="A177" s="8" t="s">
        <v>19</v>
      </c>
      <c r="B177" s="8" t="s">
        <v>10</v>
      </c>
      <c r="C177" s="5">
        <f>SUMIFS(sale[Amount],sale[Geography],B177)</f>
        <v>218813</v>
      </c>
      <c r="D177" s="2" t="s">
        <v>34</v>
      </c>
      <c r="E177" s="2">
        <v>3388</v>
      </c>
      <c r="F177" s="2">
        <f>sale[[#This Row],[Amount]]-sale[[#This Row],[Cost]]</f>
        <v>2081.7399999999998</v>
      </c>
      <c r="G177" s="2">
        <v>1306.26</v>
      </c>
      <c r="H177" s="2">
        <v>123</v>
      </c>
      <c r="I177" s="2">
        <v>123</v>
      </c>
      <c r="J177" s="4"/>
      <c r="K177" s="4"/>
    </row>
    <row r="178" spans="1:11" x14ac:dyDescent="0.3">
      <c r="A178" s="5" t="s">
        <v>9</v>
      </c>
      <c r="B178" s="5" t="s">
        <v>29</v>
      </c>
      <c r="C178" s="5">
        <f>SUMIFS(sale[Amount],sale[Geography],B178)</f>
        <v>168679</v>
      </c>
      <c r="D178" s="2" t="s">
        <v>40</v>
      </c>
      <c r="E178" s="2">
        <v>623</v>
      </c>
      <c r="F178" s="2">
        <f>sale[[#This Row],[Amount]]-sale[[#This Row],[Cost]]</f>
        <v>369.53</v>
      </c>
      <c r="G178" s="6">
        <v>253.47</v>
      </c>
      <c r="H178" s="2">
        <v>51</v>
      </c>
      <c r="I178" s="2">
        <v>51</v>
      </c>
      <c r="J178" s="4"/>
      <c r="K178" s="4"/>
    </row>
    <row r="179" spans="1:11" x14ac:dyDescent="0.3">
      <c r="A179" s="8" t="s">
        <v>23</v>
      </c>
      <c r="B179" s="8" t="s">
        <v>20</v>
      </c>
      <c r="C179" s="5">
        <f>SUMIFS(sale[Amount],sale[Geography],B179)</f>
        <v>237944</v>
      </c>
      <c r="D179" s="2" t="s">
        <v>18</v>
      </c>
      <c r="E179" s="2">
        <v>10073</v>
      </c>
      <c r="F179" s="2">
        <f>sale[[#This Row],[Amount]]-sale[[#This Row],[Cost]]</f>
        <v>8647.4</v>
      </c>
      <c r="G179" s="2">
        <v>1425.6000000000001</v>
      </c>
      <c r="H179" s="2">
        <v>120</v>
      </c>
      <c r="I179" s="2">
        <v>120</v>
      </c>
      <c r="J179" s="4"/>
      <c r="K179" s="4"/>
    </row>
    <row r="180" spans="1:11" x14ac:dyDescent="0.3">
      <c r="A180" s="5" t="s">
        <v>13</v>
      </c>
      <c r="B180" s="5" t="s">
        <v>24</v>
      </c>
      <c r="C180" s="5">
        <f>SUMIFS(sale[Amount],sale[Geography],B180)</f>
        <v>173530</v>
      </c>
      <c r="D180" s="2" t="s">
        <v>42</v>
      </c>
      <c r="E180" s="2">
        <v>1561</v>
      </c>
      <c r="F180" s="2">
        <f>sale[[#This Row],[Amount]]-sale[[#This Row],[Cost]]</f>
        <v>1409.8</v>
      </c>
      <c r="G180" s="6">
        <v>151.19999999999999</v>
      </c>
      <c r="H180" s="2">
        <v>27</v>
      </c>
      <c r="I180" s="2">
        <v>27</v>
      </c>
      <c r="J180" s="4"/>
      <c r="K180" s="4"/>
    </row>
    <row r="181" spans="1:11" x14ac:dyDescent="0.3">
      <c r="A181" s="8" t="s">
        <v>17</v>
      </c>
      <c r="B181" s="8" t="s">
        <v>20</v>
      </c>
      <c r="C181" s="5">
        <f>SUMIFS(sale[Amount],sale[Geography],B181)</f>
        <v>237944</v>
      </c>
      <c r="D181" s="2" t="s">
        <v>44</v>
      </c>
      <c r="E181" s="2">
        <v>11522</v>
      </c>
      <c r="F181" s="2">
        <f>sale[[#This Row],[Amount]]-sale[[#This Row],[Cost]]</f>
        <v>8109.08</v>
      </c>
      <c r="G181" s="2">
        <v>3412.92</v>
      </c>
      <c r="H181" s="2">
        <v>204</v>
      </c>
      <c r="I181" s="2">
        <v>204</v>
      </c>
      <c r="J181" s="4"/>
      <c r="K181" s="4"/>
    </row>
    <row r="182" spans="1:11" x14ac:dyDescent="0.3">
      <c r="A182" s="5" t="s">
        <v>23</v>
      </c>
      <c r="B182" s="5" t="s">
        <v>29</v>
      </c>
      <c r="C182" s="5">
        <f>SUMIFS(sale[Amount],sale[Geography],B182)</f>
        <v>168679</v>
      </c>
      <c r="D182" s="2" t="s">
        <v>12</v>
      </c>
      <c r="E182" s="2">
        <v>2317</v>
      </c>
      <c r="F182" s="2">
        <f>sale[[#This Row],[Amount]]-sale[[#This Row],[Cost]]</f>
        <v>1169.4100000000001</v>
      </c>
      <c r="G182" s="6">
        <v>1147.5899999999999</v>
      </c>
      <c r="H182" s="2">
        <v>123</v>
      </c>
      <c r="I182" s="2">
        <v>123</v>
      </c>
      <c r="J182" s="4"/>
      <c r="K182" s="4"/>
    </row>
    <row r="183" spans="1:11" x14ac:dyDescent="0.3">
      <c r="A183" s="8" t="s">
        <v>46</v>
      </c>
      <c r="B183" s="8" t="s">
        <v>10</v>
      </c>
      <c r="C183" s="5">
        <f>SUMIFS(sale[Amount],sale[Geography],B183)</f>
        <v>218813</v>
      </c>
      <c r="D183" s="2" t="s">
        <v>45</v>
      </c>
      <c r="E183" s="2">
        <v>3059</v>
      </c>
      <c r="F183" s="2">
        <f>sale[[#This Row],[Amount]]-sale[[#This Row],[Cost]]</f>
        <v>2778.74</v>
      </c>
      <c r="G183" s="2">
        <v>280.26000000000005</v>
      </c>
      <c r="H183" s="2">
        <v>27</v>
      </c>
      <c r="I183" s="2">
        <v>27</v>
      </c>
      <c r="J183" s="4"/>
      <c r="K183" s="4"/>
    </row>
    <row r="184" spans="1:11" x14ac:dyDescent="0.3">
      <c r="A184" s="5" t="s">
        <v>19</v>
      </c>
      <c r="B184" s="5" t="s">
        <v>10</v>
      </c>
      <c r="C184" s="5">
        <f>SUMIFS(sale[Amount],sale[Geography],B184)</f>
        <v>218813</v>
      </c>
      <c r="D184" s="2" t="s">
        <v>42</v>
      </c>
      <c r="E184" s="2">
        <v>2324</v>
      </c>
      <c r="F184" s="2">
        <f>sale[[#This Row],[Amount]]-sale[[#This Row],[Cost]]</f>
        <v>1332.8000000000002</v>
      </c>
      <c r="G184" s="6">
        <v>991.19999999999993</v>
      </c>
      <c r="H184" s="2">
        <v>177</v>
      </c>
      <c r="I184" s="2">
        <v>177</v>
      </c>
      <c r="J184" s="4"/>
      <c r="K184" s="4"/>
    </row>
    <row r="185" spans="1:11" x14ac:dyDescent="0.3">
      <c r="A185" s="8" t="s">
        <v>38</v>
      </c>
      <c r="B185" s="8" t="s">
        <v>24</v>
      </c>
      <c r="C185" s="5">
        <f>SUMIFS(sale[Amount],sale[Geography],B185)</f>
        <v>173530</v>
      </c>
      <c r="D185" s="2" t="s">
        <v>42</v>
      </c>
      <c r="E185" s="2">
        <v>4956</v>
      </c>
      <c r="F185" s="2">
        <f>sale[[#This Row],[Amount]]-sale[[#This Row],[Cost]]</f>
        <v>3998.4</v>
      </c>
      <c r="G185" s="2">
        <v>957.59999999999991</v>
      </c>
      <c r="H185" s="2">
        <v>171</v>
      </c>
      <c r="I185" s="2">
        <v>171</v>
      </c>
      <c r="J185" s="4"/>
      <c r="K185" s="4"/>
    </row>
    <row r="186" spans="1:11" x14ac:dyDescent="0.3">
      <c r="A186" s="5" t="s">
        <v>46</v>
      </c>
      <c r="B186" s="5" t="s">
        <v>41</v>
      </c>
      <c r="C186" s="5">
        <f>SUMIFS(sale[Amount],sale[Geography],B186)</f>
        <v>252469</v>
      </c>
      <c r="D186" s="2" t="s">
        <v>32</v>
      </c>
      <c r="E186" s="2">
        <v>5355</v>
      </c>
      <c r="F186" s="2">
        <f>sale[[#This Row],[Amount]]-sale[[#This Row],[Cost]]</f>
        <v>3796.44</v>
      </c>
      <c r="G186" s="6">
        <v>1558.56</v>
      </c>
      <c r="H186" s="2">
        <v>204</v>
      </c>
      <c r="I186" s="2">
        <v>204</v>
      </c>
      <c r="J186" s="4"/>
      <c r="K186" s="4"/>
    </row>
    <row r="187" spans="1:11" x14ac:dyDescent="0.3">
      <c r="A187" s="8" t="s">
        <v>38</v>
      </c>
      <c r="B187" s="8" t="s">
        <v>41</v>
      </c>
      <c r="C187" s="5">
        <f>SUMIFS(sale[Amount],sale[Geography],B187)</f>
        <v>252469</v>
      </c>
      <c r="D187" s="2" t="s">
        <v>16</v>
      </c>
      <c r="E187" s="2">
        <v>7259</v>
      </c>
      <c r="F187" s="2">
        <f>sale[[#This Row],[Amount]]-sale[[#This Row],[Cost]]</f>
        <v>4029.8</v>
      </c>
      <c r="G187" s="2">
        <v>3229.2</v>
      </c>
      <c r="H187" s="2">
        <v>276</v>
      </c>
      <c r="I187" s="2">
        <v>276</v>
      </c>
      <c r="J187" s="4"/>
      <c r="K187" s="4"/>
    </row>
    <row r="188" spans="1:11" x14ac:dyDescent="0.3">
      <c r="A188" s="5" t="s">
        <v>13</v>
      </c>
      <c r="B188" s="5" t="s">
        <v>10</v>
      </c>
      <c r="C188" s="5">
        <f>SUMIFS(sale[Amount],sale[Geography],B188)</f>
        <v>218813</v>
      </c>
      <c r="D188" s="2" t="s">
        <v>42</v>
      </c>
      <c r="E188" s="2">
        <v>6279</v>
      </c>
      <c r="F188" s="2">
        <f>sale[[#This Row],[Amount]]-sale[[#This Row],[Cost]]</f>
        <v>6027</v>
      </c>
      <c r="G188" s="6">
        <v>251.99999999999997</v>
      </c>
      <c r="H188" s="2">
        <v>45</v>
      </c>
      <c r="I188" s="2">
        <v>45</v>
      </c>
      <c r="J188" s="4"/>
      <c r="K188" s="4"/>
    </row>
    <row r="189" spans="1:11" x14ac:dyDescent="0.3">
      <c r="A189" s="8" t="s">
        <v>9</v>
      </c>
      <c r="B189" s="8" t="s">
        <v>29</v>
      </c>
      <c r="C189" s="5">
        <f>SUMIFS(sale[Amount],sale[Geography],B189)</f>
        <v>168679</v>
      </c>
      <c r="D189" s="2" t="s">
        <v>43</v>
      </c>
      <c r="E189" s="2">
        <v>2541</v>
      </c>
      <c r="F189" s="2">
        <f>sale[[#This Row],[Amount]]-sale[[#This Row],[Cost]]</f>
        <v>2218.8000000000002</v>
      </c>
      <c r="G189" s="2">
        <v>322.2</v>
      </c>
      <c r="H189" s="2">
        <v>45</v>
      </c>
      <c r="I189" s="2">
        <v>45</v>
      </c>
      <c r="J189" s="4"/>
      <c r="K189" s="4"/>
    </row>
    <row r="190" spans="1:11" x14ac:dyDescent="0.3">
      <c r="A190" s="5" t="s">
        <v>23</v>
      </c>
      <c r="B190" s="5" t="s">
        <v>14</v>
      </c>
      <c r="C190" s="5">
        <f>SUMIFS(sale[Amount],sale[Geography],B190)</f>
        <v>189434</v>
      </c>
      <c r="D190" s="2" t="s">
        <v>44</v>
      </c>
      <c r="E190" s="2">
        <v>3864</v>
      </c>
      <c r="F190" s="2">
        <f>sale[[#This Row],[Amount]]-sale[[#This Row],[Cost]]</f>
        <v>902.79</v>
      </c>
      <c r="G190" s="6">
        <v>2961.21</v>
      </c>
      <c r="H190" s="2">
        <v>177</v>
      </c>
      <c r="I190" s="2">
        <v>177</v>
      </c>
      <c r="J190" s="4"/>
      <c r="K190" s="4"/>
    </row>
    <row r="191" spans="1:11" x14ac:dyDescent="0.3">
      <c r="A191" s="8" t="s">
        <v>35</v>
      </c>
      <c r="B191" s="8" t="s">
        <v>20</v>
      </c>
      <c r="C191" s="5">
        <f>SUMIFS(sale[Amount],sale[Geography],B191)</f>
        <v>237944</v>
      </c>
      <c r="D191" s="2" t="s">
        <v>12</v>
      </c>
      <c r="E191" s="2">
        <v>6146</v>
      </c>
      <c r="F191" s="2">
        <f>sale[[#This Row],[Amount]]-sale[[#This Row],[Cost]]</f>
        <v>5558.21</v>
      </c>
      <c r="G191" s="2">
        <v>587.79</v>
      </c>
      <c r="H191" s="2">
        <v>63</v>
      </c>
      <c r="I191" s="2">
        <v>63</v>
      </c>
      <c r="J191" s="4"/>
      <c r="K191" s="4"/>
    </row>
    <row r="192" spans="1:11" x14ac:dyDescent="0.3">
      <c r="A192" s="5" t="s">
        <v>17</v>
      </c>
      <c r="B192" s="5" t="s">
        <v>24</v>
      </c>
      <c r="C192" s="5">
        <f>SUMIFS(sale[Amount],sale[Geography],B192)</f>
        <v>173530</v>
      </c>
      <c r="D192" s="2" t="s">
        <v>21</v>
      </c>
      <c r="E192" s="2">
        <v>2639</v>
      </c>
      <c r="F192" s="2">
        <f>sale[[#This Row],[Amount]]-sale[[#This Row],[Cost]]</f>
        <v>1319.1200000000001</v>
      </c>
      <c r="G192" s="6">
        <v>1319.8799999999999</v>
      </c>
      <c r="H192" s="2">
        <v>204</v>
      </c>
      <c r="I192" s="2">
        <v>204</v>
      </c>
      <c r="J192" s="4"/>
      <c r="K192" s="4"/>
    </row>
    <row r="193" spans="1:11" x14ac:dyDescent="0.3">
      <c r="A193" s="8" t="s">
        <v>13</v>
      </c>
      <c r="B193" s="8" t="s">
        <v>10</v>
      </c>
      <c r="C193" s="5">
        <f>SUMIFS(sale[Amount],sale[Geography],B193)</f>
        <v>218813</v>
      </c>
      <c r="D193" s="2" t="s">
        <v>31</v>
      </c>
      <c r="E193" s="2">
        <v>1890</v>
      </c>
      <c r="F193" s="2">
        <f>sale[[#This Row],[Amount]]-sale[[#This Row],[Cost]]</f>
        <v>-15.149999999999864</v>
      </c>
      <c r="G193" s="2">
        <v>1905.1499999999999</v>
      </c>
      <c r="H193" s="2">
        <v>195</v>
      </c>
      <c r="I193" s="2">
        <v>195</v>
      </c>
      <c r="J193" s="4"/>
      <c r="K193" s="4"/>
    </row>
    <row r="194" spans="1:11" x14ac:dyDescent="0.3">
      <c r="A194" s="5" t="s">
        <v>33</v>
      </c>
      <c r="B194" s="5" t="s">
        <v>41</v>
      </c>
      <c r="C194" s="5">
        <f>SUMIFS(sale[Amount],sale[Geography],B194)</f>
        <v>252469</v>
      </c>
      <c r="D194" s="2" t="s">
        <v>16</v>
      </c>
      <c r="E194" s="2">
        <v>1932</v>
      </c>
      <c r="F194" s="2">
        <f>sale[[#This Row],[Amount]]-sale[[#This Row],[Cost]]</f>
        <v>-2385.3000000000002</v>
      </c>
      <c r="G194" s="6">
        <v>4317.3</v>
      </c>
      <c r="H194" s="2">
        <v>369</v>
      </c>
      <c r="I194" s="2">
        <v>369</v>
      </c>
      <c r="J194" s="4"/>
      <c r="K194" s="4"/>
    </row>
    <row r="195" spans="1:11" x14ac:dyDescent="0.3">
      <c r="A195" s="8" t="s">
        <v>38</v>
      </c>
      <c r="B195" s="8" t="s">
        <v>41</v>
      </c>
      <c r="C195" s="5">
        <f>SUMIFS(sale[Amount],sale[Geography],B195)</f>
        <v>252469</v>
      </c>
      <c r="D195" s="2" t="s">
        <v>25</v>
      </c>
      <c r="E195" s="2">
        <v>6300</v>
      </c>
      <c r="F195" s="2">
        <f>sale[[#This Row],[Amount]]-sale[[#This Row],[Cost]]</f>
        <v>5747.7</v>
      </c>
      <c r="G195" s="2">
        <v>552.30000000000007</v>
      </c>
      <c r="H195" s="2">
        <v>42</v>
      </c>
      <c r="I195" s="2">
        <v>42</v>
      </c>
      <c r="J195" s="4"/>
      <c r="K195" s="4"/>
    </row>
    <row r="196" spans="1:11" x14ac:dyDescent="0.3">
      <c r="A196" s="5" t="s">
        <v>23</v>
      </c>
      <c r="B196" s="5" t="s">
        <v>10</v>
      </c>
      <c r="C196" s="5">
        <f>SUMIFS(sale[Amount],sale[Geography],B196)</f>
        <v>218813</v>
      </c>
      <c r="D196" s="2" t="s">
        <v>11</v>
      </c>
      <c r="E196" s="2">
        <v>560</v>
      </c>
      <c r="F196" s="2">
        <f>sale[[#This Row],[Amount]]-sale[[#This Row],[Cost]]</f>
        <v>-613.69000000000005</v>
      </c>
      <c r="G196" s="6">
        <v>1173.69</v>
      </c>
      <c r="H196" s="2">
        <v>81</v>
      </c>
      <c r="I196" s="2">
        <v>81</v>
      </c>
      <c r="J196" s="4"/>
      <c r="K196" s="4"/>
    </row>
    <row r="197" spans="1:11" x14ac:dyDescent="0.3">
      <c r="A197" s="8" t="s">
        <v>17</v>
      </c>
      <c r="B197" s="8" t="s">
        <v>10</v>
      </c>
      <c r="C197" s="5">
        <f>SUMIFS(sale[Amount],sale[Geography],B197)</f>
        <v>218813</v>
      </c>
      <c r="D197" s="2" t="s">
        <v>42</v>
      </c>
      <c r="E197" s="2">
        <v>2856</v>
      </c>
      <c r="F197" s="2">
        <f>sale[[#This Row],[Amount]]-sale[[#This Row],[Cost]]</f>
        <v>1478.4</v>
      </c>
      <c r="G197" s="2">
        <v>1377.6</v>
      </c>
      <c r="H197" s="2">
        <v>246</v>
      </c>
      <c r="I197" s="2">
        <v>246</v>
      </c>
      <c r="J197" s="4"/>
      <c r="K197" s="4"/>
    </row>
    <row r="198" spans="1:11" x14ac:dyDescent="0.3">
      <c r="A198" s="5" t="s">
        <v>17</v>
      </c>
      <c r="B198" s="5" t="s">
        <v>41</v>
      </c>
      <c r="C198" s="5">
        <f>SUMIFS(sale[Amount],sale[Geography],B198)</f>
        <v>252469</v>
      </c>
      <c r="D198" s="2" t="s">
        <v>28</v>
      </c>
      <c r="E198" s="2">
        <v>707</v>
      </c>
      <c r="F198" s="2">
        <f>sale[[#This Row],[Amount]]-sale[[#This Row],[Cost]]</f>
        <v>165.86</v>
      </c>
      <c r="G198" s="6">
        <v>541.14</v>
      </c>
      <c r="H198" s="2">
        <v>174</v>
      </c>
      <c r="I198" s="2">
        <v>174</v>
      </c>
      <c r="J198" s="4"/>
      <c r="K198" s="4"/>
    </row>
    <row r="199" spans="1:11" x14ac:dyDescent="0.3">
      <c r="A199" s="8" t="s">
        <v>13</v>
      </c>
      <c r="B199" s="8" t="s">
        <v>14</v>
      </c>
      <c r="C199" s="5">
        <f>SUMIFS(sale[Amount],sale[Geography],B199)</f>
        <v>189434</v>
      </c>
      <c r="D199" s="2" t="s">
        <v>11</v>
      </c>
      <c r="E199" s="2">
        <v>3598</v>
      </c>
      <c r="F199" s="2">
        <f>sale[[#This Row],[Amount]]-sale[[#This Row],[Cost]]</f>
        <v>2424.31</v>
      </c>
      <c r="G199" s="2">
        <v>1173.69</v>
      </c>
      <c r="H199" s="2">
        <v>81</v>
      </c>
      <c r="I199" s="2">
        <v>81</v>
      </c>
      <c r="J199" s="4"/>
      <c r="K199" s="4"/>
    </row>
    <row r="200" spans="1:11" x14ac:dyDescent="0.3">
      <c r="A200" s="5" t="s">
        <v>9</v>
      </c>
      <c r="B200" s="5" t="s">
        <v>14</v>
      </c>
      <c r="C200" s="5">
        <f>SUMIFS(sale[Amount],sale[Geography],B200)</f>
        <v>189434</v>
      </c>
      <c r="D200" s="2" t="s">
        <v>31</v>
      </c>
      <c r="E200" s="2">
        <v>6853</v>
      </c>
      <c r="F200" s="2">
        <f>sale[[#This Row],[Amount]]-sale[[#This Row],[Cost]]</f>
        <v>3218.56</v>
      </c>
      <c r="G200" s="6">
        <v>3634.44</v>
      </c>
      <c r="H200" s="2">
        <v>372</v>
      </c>
      <c r="I200" s="2">
        <v>372</v>
      </c>
      <c r="J200" s="4"/>
      <c r="K200" s="4"/>
    </row>
    <row r="201" spans="1:11" x14ac:dyDescent="0.3">
      <c r="A201" s="8" t="s">
        <v>9</v>
      </c>
      <c r="B201" s="8" t="s">
        <v>14</v>
      </c>
      <c r="C201" s="5">
        <f>SUMIFS(sale[Amount],sale[Geography],B201)</f>
        <v>189434</v>
      </c>
      <c r="D201" s="2" t="s">
        <v>26</v>
      </c>
      <c r="E201" s="2">
        <v>4725</v>
      </c>
      <c r="F201" s="2">
        <f>sale[[#This Row],[Amount]]-sale[[#This Row],[Cost]]</f>
        <v>3195.54</v>
      </c>
      <c r="G201" s="2">
        <v>1529.4599999999998</v>
      </c>
      <c r="H201" s="2">
        <v>174</v>
      </c>
      <c r="I201" s="2">
        <v>174</v>
      </c>
      <c r="J201" s="4"/>
      <c r="K201" s="4"/>
    </row>
    <row r="202" spans="1:11" x14ac:dyDescent="0.3">
      <c r="A202" s="5" t="s">
        <v>19</v>
      </c>
      <c r="B202" s="5" t="s">
        <v>20</v>
      </c>
      <c r="C202" s="5">
        <f>SUMIFS(sale[Amount],sale[Geography],B202)</f>
        <v>237944</v>
      </c>
      <c r="D202" s="2" t="s">
        <v>15</v>
      </c>
      <c r="E202" s="2">
        <v>10304</v>
      </c>
      <c r="F202" s="2">
        <f>sale[[#This Row],[Amount]]-sale[[#This Row],[Cost]]</f>
        <v>9577.4</v>
      </c>
      <c r="G202" s="6">
        <v>726.6</v>
      </c>
      <c r="H202" s="2">
        <v>84</v>
      </c>
      <c r="I202" s="2">
        <v>84</v>
      </c>
      <c r="J202" s="4"/>
      <c r="K202" s="4"/>
    </row>
    <row r="203" spans="1:11" x14ac:dyDescent="0.3">
      <c r="A203" s="8" t="s">
        <v>19</v>
      </c>
      <c r="B203" s="8" t="s">
        <v>41</v>
      </c>
      <c r="C203" s="5">
        <f>SUMIFS(sale[Amount],sale[Geography],B203)</f>
        <v>252469</v>
      </c>
      <c r="D203" s="2" t="s">
        <v>26</v>
      </c>
      <c r="E203" s="2">
        <v>1274</v>
      </c>
      <c r="F203" s="2">
        <f>sale[[#This Row],[Amount]]-sale[[#This Row],[Cost]]</f>
        <v>-703.74999999999977</v>
      </c>
      <c r="G203" s="2">
        <v>1977.7499999999998</v>
      </c>
      <c r="H203" s="2">
        <v>225</v>
      </c>
      <c r="I203" s="2">
        <v>225</v>
      </c>
      <c r="J203" s="4"/>
      <c r="K203" s="4"/>
    </row>
    <row r="204" spans="1:11" x14ac:dyDescent="0.3">
      <c r="A204" s="5" t="s">
        <v>35</v>
      </c>
      <c r="B204" s="5" t="s">
        <v>20</v>
      </c>
      <c r="C204" s="5">
        <f>SUMIFS(sale[Amount],sale[Geography],B204)</f>
        <v>237944</v>
      </c>
      <c r="D204" s="2" t="s">
        <v>11</v>
      </c>
      <c r="E204" s="2">
        <v>1526</v>
      </c>
      <c r="F204" s="2">
        <f>sale[[#This Row],[Amount]]-sale[[#This Row],[Cost]]</f>
        <v>4.5499999999999545</v>
      </c>
      <c r="G204" s="6">
        <v>1521.45</v>
      </c>
      <c r="H204" s="2">
        <v>105</v>
      </c>
      <c r="I204" s="2">
        <v>105</v>
      </c>
      <c r="J204" s="4"/>
      <c r="K204" s="4"/>
    </row>
    <row r="205" spans="1:11" x14ac:dyDescent="0.3">
      <c r="A205" s="8" t="s">
        <v>9</v>
      </c>
      <c r="B205" s="8" t="s">
        <v>24</v>
      </c>
      <c r="C205" s="5">
        <f>SUMIFS(sale[Amount],sale[Geography],B205)</f>
        <v>173530</v>
      </c>
      <c r="D205" s="2" t="s">
        <v>45</v>
      </c>
      <c r="E205" s="2">
        <v>3101</v>
      </c>
      <c r="F205" s="2">
        <f>sale[[#This Row],[Amount]]-sale[[#This Row],[Cost]]</f>
        <v>765.5</v>
      </c>
      <c r="G205" s="2">
        <v>2335.5</v>
      </c>
      <c r="H205" s="2">
        <v>225</v>
      </c>
      <c r="I205" s="2">
        <v>225</v>
      </c>
      <c r="J205" s="4"/>
      <c r="K205" s="4"/>
    </row>
    <row r="206" spans="1:11" x14ac:dyDescent="0.3">
      <c r="A206" s="5" t="s">
        <v>37</v>
      </c>
      <c r="B206" s="5" t="s">
        <v>10</v>
      </c>
      <c r="C206" s="5">
        <f>SUMIFS(sale[Amount],sale[Geography],B206)</f>
        <v>218813</v>
      </c>
      <c r="D206" s="2" t="s">
        <v>16</v>
      </c>
      <c r="E206" s="2">
        <v>1057</v>
      </c>
      <c r="F206" s="2">
        <f>sale[[#This Row],[Amount]]-sale[[#This Row],[Cost]]</f>
        <v>425.20000000000005</v>
      </c>
      <c r="G206" s="6">
        <v>631.79999999999995</v>
      </c>
      <c r="H206" s="2">
        <v>54</v>
      </c>
      <c r="I206" s="2">
        <v>54</v>
      </c>
      <c r="J206" s="4"/>
      <c r="K206" s="4"/>
    </row>
    <row r="207" spans="1:11" x14ac:dyDescent="0.3">
      <c r="A207" s="8" t="s">
        <v>33</v>
      </c>
      <c r="B207" s="8" t="s">
        <v>10</v>
      </c>
      <c r="C207" s="5">
        <f>SUMIFS(sale[Amount],sale[Geography],B207)</f>
        <v>218813</v>
      </c>
      <c r="D207" s="2" t="s">
        <v>42</v>
      </c>
      <c r="E207" s="2">
        <v>5306</v>
      </c>
      <c r="F207" s="2">
        <f>sale[[#This Row],[Amount]]-sale[[#This Row],[Cost]]</f>
        <v>5306</v>
      </c>
      <c r="G207" s="2">
        <v>0</v>
      </c>
      <c r="H207" s="2">
        <v>0</v>
      </c>
      <c r="I207" s="2">
        <v>0</v>
      </c>
      <c r="J207" s="4"/>
      <c r="K207" s="4"/>
    </row>
    <row r="208" spans="1:11" x14ac:dyDescent="0.3">
      <c r="A208" s="5" t="s">
        <v>35</v>
      </c>
      <c r="B208" s="5" t="s">
        <v>24</v>
      </c>
      <c r="C208" s="5">
        <f>SUMIFS(sale[Amount],sale[Geography],B208)</f>
        <v>173530</v>
      </c>
      <c r="D208" s="2" t="s">
        <v>40</v>
      </c>
      <c r="E208" s="2">
        <v>4018</v>
      </c>
      <c r="F208" s="2">
        <f>sale[[#This Row],[Amount]]-sale[[#This Row],[Cost]]</f>
        <v>3168.13</v>
      </c>
      <c r="G208" s="6">
        <v>849.87</v>
      </c>
      <c r="H208" s="2">
        <v>171</v>
      </c>
      <c r="I208" s="2">
        <v>171</v>
      </c>
      <c r="J208" s="4"/>
      <c r="K208" s="4"/>
    </row>
    <row r="209" spans="1:11" x14ac:dyDescent="0.3">
      <c r="A209" s="8" t="s">
        <v>17</v>
      </c>
      <c r="B209" s="8" t="s">
        <v>41</v>
      </c>
      <c r="C209" s="5">
        <f>SUMIFS(sale[Amount],sale[Geography],B209)</f>
        <v>252469</v>
      </c>
      <c r="D209" s="2" t="s">
        <v>26</v>
      </c>
      <c r="E209" s="2">
        <v>938</v>
      </c>
      <c r="F209" s="2">
        <f>sale[[#This Row],[Amount]]-sale[[#This Row],[Cost]]</f>
        <v>-723.31</v>
      </c>
      <c r="G209" s="2">
        <v>1661.31</v>
      </c>
      <c r="H209" s="2">
        <v>189</v>
      </c>
      <c r="I209" s="2">
        <v>189</v>
      </c>
      <c r="J209" s="4"/>
      <c r="K209" s="4"/>
    </row>
    <row r="210" spans="1:11" x14ac:dyDescent="0.3">
      <c r="A210" s="5" t="s">
        <v>33</v>
      </c>
      <c r="B210" s="5" t="s">
        <v>29</v>
      </c>
      <c r="C210" s="5">
        <f>SUMIFS(sale[Amount],sale[Geography],B210)</f>
        <v>168679</v>
      </c>
      <c r="D210" s="2" t="s">
        <v>21</v>
      </c>
      <c r="E210" s="2">
        <v>1778</v>
      </c>
      <c r="F210" s="2">
        <f>sale[[#This Row],[Amount]]-sale[[#This Row],[Cost]]</f>
        <v>31.100000000000136</v>
      </c>
      <c r="G210" s="6">
        <v>1746.8999999999999</v>
      </c>
      <c r="H210" s="2">
        <v>270</v>
      </c>
      <c r="I210" s="2">
        <v>270</v>
      </c>
      <c r="J210" s="4"/>
      <c r="K210" s="4"/>
    </row>
    <row r="211" spans="1:11" x14ac:dyDescent="0.3">
      <c r="A211" s="8" t="s">
        <v>23</v>
      </c>
      <c r="B211" s="8" t="s">
        <v>24</v>
      </c>
      <c r="C211" s="5">
        <f>SUMIFS(sale[Amount],sale[Geography],B211)</f>
        <v>173530</v>
      </c>
      <c r="D211" s="2" t="s">
        <v>11</v>
      </c>
      <c r="E211" s="2">
        <v>1638</v>
      </c>
      <c r="F211" s="2">
        <f>sale[[#This Row],[Amount]]-sale[[#This Row],[Cost]]</f>
        <v>725.13</v>
      </c>
      <c r="G211" s="2">
        <v>912.87</v>
      </c>
      <c r="H211" s="2">
        <v>63</v>
      </c>
      <c r="I211" s="2">
        <v>63</v>
      </c>
      <c r="J211" s="4"/>
      <c r="K211" s="4"/>
    </row>
    <row r="212" spans="1:11" x14ac:dyDescent="0.3">
      <c r="A212" s="5" t="s">
        <v>19</v>
      </c>
      <c r="B212" s="5" t="s">
        <v>29</v>
      </c>
      <c r="C212" s="5">
        <f>SUMIFS(sale[Amount],sale[Geography],B212)</f>
        <v>168679</v>
      </c>
      <c r="D212" s="2" t="s">
        <v>25</v>
      </c>
      <c r="E212" s="2">
        <v>154</v>
      </c>
      <c r="F212" s="2">
        <f>sale[[#This Row],[Amount]]-sale[[#This Row],[Cost]]</f>
        <v>-122.15000000000003</v>
      </c>
      <c r="G212" s="6">
        <v>276.15000000000003</v>
      </c>
      <c r="H212" s="2">
        <v>21</v>
      </c>
      <c r="I212" s="2">
        <v>21</v>
      </c>
      <c r="J212" s="4"/>
      <c r="K212" s="4"/>
    </row>
    <row r="213" spans="1:11" x14ac:dyDescent="0.3">
      <c r="A213" s="8" t="s">
        <v>33</v>
      </c>
      <c r="B213" s="8" t="s">
        <v>10</v>
      </c>
      <c r="C213" s="5">
        <f>SUMIFS(sale[Amount],sale[Geography],B213)</f>
        <v>218813</v>
      </c>
      <c r="D213" s="2" t="s">
        <v>31</v>
      </c>
      <c r="E213" s="2">
        <v>9835</v>
      </c>
      <c r="F213" s="2">
        <f>sale[[#This Row],[Amount]]-sale[[#This Row],[Cost]]</f>
        <v>7812.6100000000006</v>
      </c>
      <c r="G213" s="2">
        <v>2022.3899999999999</v>
      </c>
      <c r="H213" s="2">
        <v>207</v>
      </c>
      <c r="I213" s="2">
        <v>207</v>
      </c>
      <c r="J213" s="4"/>
      <c r="K213" s="4"/>
    </row>
    <row r="214" spans="1:11" x14ac:dyDescent="0.3">
      <c r="A214" s="5" t="s">
        <v>17</v>
      </c>
      <c r="B214" s="5" t="s">
        <v>10</v>
      </c>
      <c r="C214" s="5">
        <f>SUMIFS(sale[Amount],sale[Geography],B214)</f>
        <v>218813</v>
      </c>
      <c r="D214" s="2" t="s">
        <v>34</v>
      </c>
      <c r="E214" s="2">
        <v>7273</v>
      </c>
      <c r="F214" s="2">
        <f>sale[[#This Row],[Amount]]-sale[[#This Row],[Cost]]</f>
        <v>6253.48</v>
      </c>
      <c r="G214" s="6">
        <v>1019.52</v>
      </c>
      <c r="H214" s="2">
        <v>96</v>
      </c>
      <c r="I214" s="2">
        <v>96</v>
      </c>
      <c r="J214" s="4"/>
      <c r="K214" s="4"/>
    </row>
    <row r="215" spans="1:11" x14ac:dyDescent="0.3">
      <c r="A215" s="8" t="s">
        <v>35</v>
      </c>
      <c r="B215" s="8" t="s">
        <v>24</v>
      </c>
      <c r="C215" s="5">
        <f>SUMIFS(sale[Amount],sale[Geography],B215)</f>
        <v>173530</v>
      </c>
      <c r="D215" s="2" t="s">
        <v>31</v>
      </c>
      <c r="E215" s="2">
        <v>6909</v>
      </c>
      <c r="F215" s="2">
        <f>sale[[#This Row],[Amount]]-sale[[#This Row],[Cost]]</f>
        <v>6117.63</v>
      </c>
      <c r="G215" s="2">
        <v>791.37</v>
      </c>
      <c r="H215" s="2">
        <v>81</v>
      </c>
      <c r="I215" s="2">
        <v>81</v>
      </c>
      <c r="J215" s="4"/>
      <c r="K215" s="4"/>
    </row>
    <row r="216" spans="1:11" x14ac:dyDescent="0.3">
      <c r="A216" s="5" t="s">
        <v>17</v>
      </c>
      <c r="B216" s="5" t="s">
        <v>24</v>
      </c>
      <c r="C216" s="5">
        <f>SUMIFS(sale[Amount],sale[Geography],B216)</f>
        <v>173530</v>
      </c>
      <c r="D216" s="2" t="s">
        <v>40</v>
      </c>
      <c r="E216" s="2">
        <v>3920</v>
      </c>
      <c r="F216" s="2">
        <f>sale[[#This Row],[Amount]]-sale[[#This Row],[Cost]]</f>
        <v>2399.1800000000003</v>
      </c>
      <c r="G216" s="6">
        <v>1520.82</v>
      </c>
      <c r="H216" s="2">
        <v>306</v>
      </c>
      <c r="I216" s="2">
        <v>306</v>
      </c>
      <c r="J216" s="4"/>
      <c r="K216" s="4"/>
    </row>
    <row r="217" spans="1:11" x14ac:dyDescent="0.3">
      <c r="A217" s="8" t="s">
        <v>46</v>
      </c>
      <c r="B217" s="8" t="s">
        <v>24</v>
      </c>
      <c r="C217" s="5">
        <f>SUMIFS(sale[Amount],sale[Geography],B217)</f>
        <v>173530</v>
      </c>
      <c r="D217" s="2" t="s">
        <v>36</v>
      </c>
      <c r="E217" s="2">
        <v>4858</v>
      </c>
      <c r="F217" s="2">
        <f>sale[[#This Row],[Amount]]-sale[[#This Row],[Cost]]</f>
        <v>2347</v>
      </c>
      <c r="G217" s="2">
        <v>2511</v>
      </c>
      <c r="H217" s="2">
        <v>279</v>
      </c>
      <c r="I217" s="2">
        <v>279</v>
      </c>
      <c r="J217" s="4"/>
      <c r="K217" s="4"/>
    </row>
    <row r="218" spans="1:11" x14ac:dyDescent="0.3">
      <c r="A218" s="5" t="s">
        <v>37</v>
      </c>
      <c r="B218" s="5" t="s">
        <v>29</v>
      </c>
      <c r="C218" s="5">
        <f>SUMIFS(sale[Amount],sale[Geography],B218)</f>
        <v>168679</v>
      </c>
      <c r="D218" s="2" t="s">
        <v>18</v>
      </c>
      <c r="E218" s="2">
        <v>3549</v>
      </c>
      <c r="F218" s="2">
        <f>sale[[#This Row],[Amount]]-sale[[#This Row],[Cost]]</f>
        <v>3513.36</v>
      </c>
      <c r="G218" s="6">
        <v>35.64</v>
      </c>
      <c r="H218" s="2">
        <v>3</v>
      </c>
      <c r="I218" s="2">
        <v>3</v>
      </c>
      <c r="J218" s="4"/>
      <c r="K218" s="4"/>
    </row>
    <row r="219" spans="1:11" x14ac:dyDescent="0.3">
      <c r="A219" s="8" t="s">
        <v>33</v>
      </c>
      <c r="B219" s="8" t="s">
        <v>24</v>
      </c>
      <c r="C219" s="5">
        <f>SUMIFS(sale[Amount],sale[Geography],B219)</f>
        <v>173530</v>
      </c>
      <c r="D219" s="2" t="s">
        <v>44</v>
      </c>
      <c r="E219" s="2">
        <v>966</v>
      </c>
      <c r="F219" s="2">
        <f>sale[[#This Row],[Amount]]-sale[[#This Row],[Cost]]</f>
        <v>-2346.54</v>
      </c>
      <c r="G219" s="2">
        <v>3312.54</v>
      </c>
      <c r="H219" s="2">
        <v>198</v>
      </c>
      <c r="I219" s="2">
        <v>198</v>
      </c>
      <c r="J219" s="4"/>
      <c r="K219" s="4"/>
    </row>
    <row r="220" spans="1:11" x14ac:dyDescent="0.3">
      <c r="A220" s="5" t="s">
        <v>35</v>
      </c>
      <c r="B220" s="5" t="s">
        <v>24</v>
      </c>
      <c r="C220" s="5">
        <f>SUMIFS(sale[Amount],sale[Geography],B220)</f>
        <v>173530</v>
      </c>
      <c r="D220" s="2" t="s">
        <v>21</v>
      </c>
      <c r="E220" s="2">
        <v>385</v>
      </c>
      <c r="F220" s="2">
        <f>sale[[#This Row],[Amount]]-sale[[#This Row],[Cost]]</f>
        <v>-1226.03</v>
      </c>
      <c r="G220" s="6">
        <v>1611.03</v>
      </c>
      <c r="H220" s="2">
        <v>249</v>
      </c>
      <c r="I220" s="2">
        <v>249</v>
      </c>
      <c r="J220" s="4"/>
      <c r="K220" s="4"/>
    </row>
    <row r="221" spans="1:11" x14ac:dyDescent="0.3">
      <c r="A221" s="8" t="s">
        <v>23</v>
      </c>
      <c r="B221" s="8" t="s">
        <v>41</v>
      </c>
      <c r="C221" s="5">
        <f>SUMIFS(sale[Amount],sale[Geography],B221)</f>
        <v>252469</v>
      </c>
      <c r="D221" s="2" t="s">
        <v>26</v>
      </c>
      <c r="E221" s="2">
        <v>2219</v>
      </c>
      <c r="F221" s="2">
        <f>sale[[#This Row],[Amount]]-sale[[#This Row],[Cost]]</f>
        <v>1559.75</v>
      </c>
      <c r="G221" s="2">
        <v>659.24999999999989</v>
      </c>
      <c r="H221" s="2">
        <v>75</v>
      </c>
      <c r="I221" s="2">
        <v>75</v>
      </c>
      <c r="J221" s="4"/>
      <c r="K221" s="4"/>
    </row>
    <row r="222" spans="1:11" x14ac:dyDescent="0.3">
      <c r="A222" s="5" t="s">
        <v>17</v>
      </c>
      <c r="B222" s="5" t="s">
        <v>20</v>
      </c>
      <c r="C222" s="5">
        <f>SUMIFS(sale[Amount],sale[Geography],B222)</f>
        <v>237944</v>
      </c>
      <c r="D222" s="2" t="s">
        <v>15</v>
      </c>
      <c r="E222" s="2">
        <v>2954</v>
      </c>
      <c r="F222" s="2">
        <f>sale[[#This Row],[Amount]]-sale[[#This Row],[Cost]]</f>
        <v>1319.1499999999999</v>
      </c>
      <c r="G222" s="6">
        <v>1634.8500000000001</v>
      </c>
      <c r="H222" s="2">
        <v>189</v>
      </c>
      <c r="I222" s="2">
        <v>189</v>
      </c>
      <c r="J222" s="4"/>
      <c r="K222" s="4"/>
    </row>
    <row r="223" spans="1:11" x14ac:dyDescent="0.3">
      <c r="A223" s="8" t="s">
        <v>33</v>
      </c>
      <c r="B223" s="8" t="s">
        <v>20</v>
      </c>
      <c r="C223" s="5">
        <f>SUMIFS(sale[Amount],sale[Geography],B223)</f>
        <v>237944</v>
      </c>
      <c r="D223" s="2" t="s">
        <v>15</v>
      </c>
      <c r="E223" s="2">
        <v>280</v>
      </c>
      <c r="F223" s="2">
        <f>sale[[#This Row],[Amount]]-sale[[#This Row],[Cost]]</f>
        <v>-472.55000000000007</v>
      </c>
      <c r="G223" s="2">
        <v>752.55000000000007</v>
      </c>
      <c r="H223" s="2">
        <v>87</v>
      </c>
      <c r="I223" s="2">
        <v>87</v>
      </c>
      <c r="J223" s="4"/>
      <c r="K223" s="4"/>
    </row>
    <row r="224" spans="1:11" x14ac:dyDescent="0.3">
      <c r="A224" s="5" t="s">
        <v>19</v>
      </c>
      <c r="B224" s="5" t="s">
        <v>20</v>
      </c>
      <c r="C224" s="5">
        <f>SUMIFS(sale[Amount],sale[Geography],B224)</f>
        <v>237944</v>
      </c>
      <c r="D224" s="2" t="s">
        <v>11</v>
      </c>
      <c r="E224" s="2">
        <v>6118</v>
      </c>
      <c r="F224" s="2">
        <f>sale[[#This Row],[Amount]]-sale[[#This Row],[Cost]]</f>
        <v>3596.74</v>
      </c>
      <c r="G224" s="6">
        <v>2521.2600000000002</v>
      </c>
      <c r="H224" s="2">
        <v>174</v>
      </c>
      <c r="I224" s="2">
        <v>174</v>
      </c>
      <c r="J224" s="4"/>
      <c r="K224" s="4"/>
    </row>
    <row r="225" spans="1:11" x14ac:dyDescent="0.3">
      <c r="A225" s="8" t="s">
        <v>37</v>
      </c>
      <c r="B225" s="8" t="s">
        <v>24</v>
      </c>
      <c r="C225" s="5">
        <f>SUMIFS(sale[Amount],sale[Geography],B225)</f>
        <v>173530</v>
      </c>
      <c r="D225" s="2" t="s">
        <v>22</v>
      </c>
      <c r="E225" s="2">
        <v>4802</v>
      </c>
      <c r="F225" s="2">
        <f>sale[[#This Row],[Amount]]-sale[[#This Row],[Cost]]</f>
        <v>4379.72</v>
      </c>
      <c r="G225" s="2">
        <v>422.28000000000003</v>
      </c>
      <c r="H225" s="2">
        <v>36</v>
      </c>
      <c r="I225" s="2">
        <v>36</v>
      </c>
      <c r="J225" s="4"/>
      <c r="K225" s="4"/>
    </row>
    <row r="226" spans="1:11" x14ac:dyDescent="0.3">
      <c r="A226" s="5" t="s">
        <v>17</v>
      </c>
      <c r="B226" s="5" t="s">
        <v>29</v>
      </c>
      <c r="C226" s="5">
        <f>SUMIFS(sale[Amount],sale[Geography],B226)</f>
        <v>168679</v>
      </c>
      <c r="D226" s="2" t="s">
        <v>40</v>
      </c>
      <c r="E226" s="2">
        <v>4137</v>
      </c>
      <c r="F226" s="2">
        <f>sale[[#This Row],[Amount]]-sale[[#This Row],[Cost]]</f>
        <v>3838.8</v>
      </c>
      <c r="G226" s="6">
        <v>298.2</v>
      </c>
      <c r="H226" s="2">
        <v>60</v>
      </c>
      <c r="I226" s="2">
        <v>60</v>
      </c>
      <c r="J226" s="4"/>
      <c r="K226" s="4"/>
    </row>
    <row r="227" spans="1:11" x14ac:dyDescent="0.3">
      <c r="A227" s="8" t="s">
        <v>38</v>
      </c>
      <c r="B227" s="8" t="s">
        <v>14</v>
      </c>
      <c r="C227" s="5">
        <f>SUMIFS(sale[Amount],sale[Geography],B227)</f>
        <v>189434</v>
      </c>
      <c r="D227" s="2" t="s">
        <v>39</v>
      </c>
      <c r="E227" s="2">
        <v>2023</v>
      </c>
      <c r="F227" s="2">
        <f>sale[[#This Row],[Amount]]-sale[[#This Row],[Cost]]</f>
        <v>1516.78</v>
      </c>
      <c r="G227" s="2">
        <v>506.22</v>
      </c>
      <c r="H227" s="2">
        <v>78</v>
      </c>
      <c r="I227" s="2">
        <v>78</v>
      </c>
      <c r="J227" s="4"/>
      <c r="K227" s="4"/>
    </row>
    <row r="228" spans="1:11" x14ac:dyDescent="0.3">
      <c r="A228" s="5" t="s">
        <v>17</v>
      </c>
      <c r="B228" s="5" t="s">
        <v>20</v>
      </c>
      <c r="C228" s="5">
        <f>SUMIFS(sale[Amount],sale[Geography],B228)</f>
        <v>237944</v>
      </c>
      <c r="D228" s="2" t="s">
        <v>11</v>
      </c>
      <c r="E228" s="2">
        <v>9051</v>
      </c>
      <c r="F228" s="2">
        <f>sale[[#This Row],[Amount]]-sale[[#This Row],[Cost]]</f>
        <v>8225.07</v>
      </c>
      <c r="G228" s="6">
        <v>825.93000000000006</v>
      </c>
      <c r="H228" s="2">
        <v>57</v>
      </c>
      <c r="I228" s="2">
        <v>57</v>
      </c>
      <c r="J228" s="4"/>
      <c r="K228" s="4"/>
    </row>
    <row r="229" spans="1:11" x14ac:dyDescent="0.3">
      <c r="A229" s="8" t="s">
        <v>17</v>
      </c>
      <c r="B229" s="8" t="s">
        <v>10</v>
      </c>
      <c r="C229" s="5">
        <f>SUMIFS(sale[Amount],sale[Geography],B229)</f>
        <v>218813</v>
      </c>
      <c r="D229" s="2" t="s">
        <v>45</v>
      </c>
      <c r="E229" s="2">
        <v>2919</v>
      </c>
      <c r="F229" s="2">
        <f>sale[[#This Row],[Amount]]-sale[[#This Row],[Cost]]</f>
        <v>2451.9</v>
      </c>
      <c r="G229" s="2">
        <v>467.1</v>
      </c>
      <c r="H229" s="2">
        <v>45</v>
      </c>
      <c r="I229" s="2">
        <v>45</v>
      </c>
      <c r="J229" s="4"/>
      <c r="K229" s="4"/>
    </row>
    <row r="230" spans="1:11" x14ac:dyDescent="0.3">
      <c r="A230" s="5" t="s">
        <v>19</v>
      </c>
      <c r="B230" s="5" t="s">
        <v>29</v>
      </c>
      <c r="C230" s="5">
        <f>SUMIFS(sale[Amount],sale[Geography],B230)</f>
        <v>168679</v>
      </c>
      <c r="D230" s="2" t="s">
        <v>31</v>
      </c>
      <c r="E230" s="2">
        <v>5915</v>
      </c>
      <c r="F230" s="2">
        <f>sale[[#This Row],[Amount]]-sale[[#This Row],[Cost]]</f>
        <v>5885.69</v>
      </c>
      <c r="G230" s="6">
        <v>29.31</v>
      </c>
      <c r="H230" s="2">
        <v>3</v>
      </c>
      <c r="I230" s="2">
        <v>3</v>
      </c>
      <c r="J230" s="4"/>
      <c r="K230" s="4"/>
    </row>
    <row r="231" spans="1:11" x14ac:dyDescent="0.3">
      <c r="A231" s="8" t="s">
        <v>46</v>
      </c>
      <c r="B231" s="8" t="s">
        <v>14</v>
      </c>
      <c r="C231" s="5">
        <f>SUMIFS(sale[Amount],sale[Geography],B231)</f>
        <v>189434</v>
      </c>
      <c r="D231" s="2" t="s">
        <v>22</v>
      </c>
      <c r="E231" s="2">
        <v>2562</v>
      </c>
      <c r="F231" s="2">
        <f>sale[[#This Row],[Amount]]-sale[[#This Row],[Cost]]</f>
        <v>2491.62</v>
      </c>
      <c r="G231" s="2">
        <v>70.38</v>
      </c>
      <c r="H231" s="2">
        <v>6</v>
      </c>
      <c r="I231" s="2">
        <v>6</v>
      </c>
      <c r="J231" s="4"/>
      <c r="K231" s="4"/>
    </row>
    <row r="232" spans="1:11" x14ac:dyDescent="0.3">
      <c r="A232" s="5" t="s">
        <v>35</v>
      </c>
      <c r="B232" s="5" t="s">
        <v>10</v>
      </c>
      <c r="C232" s="5">
        <f>SUMIFS(sale[Amount],sale[Geography],B232)</f>
        <v>218813</v>
      </c>
      <c r="D232" s="2" t="s">
        <v>25</v>
      </c>
      <c r="E232" s="2">
        <v>8813</v>
      </c>
      <c r="F232" s="2">
        <f>sale[[#This Row],[Amount]]-sale[[#This Row],[Cost]]</f>
        <v>8536.85</v>
      </c>
      <c r="G232" s="6">
        <v>276.15000000000003</v>
      </c>
      <c r="H232" s="2">
        <v>21</v>
      </c>
      <c r="I232" s="2">
        <v>21</v>
      </c>
      <c r="J232" s="4"/>
      <c r="K232" s="4"/>
    </row>
    <row r="233" spans="1:11" x14ac:dyDescent="0.3">
      <c r="A233" s="8" t="s">
        <v>35</v>
      </c>
      <c r="B233" s="8" t="s">
        <v>20</v>
      </c>
      <c r="C233" s="5">
        <f>SUMIFS(sale[Amount],sale[Geography],B233)</f>
        <v>237944</v>
      </c>
      <c r="D233" s="2" t="s">
        <v>21</v>
      </c>
      <c r="E233" s="2">
        <v>6111</v>
      </c>
      <c r="F233" s="2">
        <f>sale[[#This Row],[Amount]]-sale[[#This Row],[Cost]]</f>
        <v>6091.59</v>
      </c>
      <c r="G233" s="2">
        <v>19.41</v>
      </c>
      <c r="H233" s="2">
        <v>3</v>
      </c>
      <c r="I233" s="2">
        <v>3</v>
      </c>
      <c r="J233" s="4"/>
      <c r="K233" s="4"/>
    </row>
    <row r="234" spans="1:11" x14ac:dyDescent="0.3">
      <c r="A234" s="5" t="s">
        <v>13</v>
      </c>
      <c r="B234" s="5" t="s">
        <v>41</v>
      </c>
      <c r="C234" s="5">
        <f>SUMIFS(sale[Amount],sale[Geography],B234)</f>
        <v>252469</v>
      </c>
      <c r="D234" s="2" t="s">
        <v>30</v>
      </c>
      <c r="E234" s="2">
        <v>3507</v>
      </c>
      <c r="F234" s="2">
        <f>sale[[#This Row],[Amount]]-sale[[#This Row],[Cost]]</f>
        <v>1839.48</v>
      </c>
      <c r="G234" s="6">
        <v>1667.52</v>
      </c>
      <c r="H234" s="2">
        <v>288</v>
      </c>
      <c r="I234" s="2">
        <v>288</v>
      </c>
      <c r="J234" s="4"/>
      <c r="K234" s="4"/>
    </row>
    <row r="235" spans="1:11" x14ac:dyDescent="0.3">
      <c r="A235" s="8" t="s">
        <v>23</v>
      </c>
      <c r="B235" s="8" t="s">
        <v>20</v>
      </c>
      <c r="C235" s="5">
        <f>SUMIFS(sale[Amount],sale[Geography],B235)</f>
        <v>237944</v>
      </c>
      <c r="D235" s="2" t="s">
        <v>12</v>
      </c>
      <c r="E235" s="2">
        <v>4319</v>
      </c>
      <c r="F235" s="2">
        <f>sale[[#This Row],[Amount]]-sale[[#This Row],[Cost]]</f>
        <v>4039.1</v>
      </c>
      <c r="G235" s="2">
        <v>279.89999999999998</v>
      </c>
      <c r="H235" s="2">
        <v>30</v>
      </c>
      <c r="I235" s="2">
        <v>30</v>
      </c>
      <c r="J235" s="4"/>
      <c r="K235" s="4"/>
    </row>
    <row r="236" spans="1:11" x14ac:dyDescent="0.3">
      <c r="A236" s="5" t="s">
        <v>9</v>
      </c>
      <c r="B236" s="5" t="s">
        <v>29</v>
      </c>
      <c r="C236" s="5">
        <f>SUMIFS(sale[Amount],sale[Geography],B236)</f>
        <v>168679</v>
      </c>
      <c r="D236" s="2" t="s">
        <v>42</v>
      </c>
      <c r="E236" s="2">
        <v>609</v>
      </c>
      <c r="F236" s="2">
        <f>sale[[#This Row],[Amount]]-sale[[#This Row],[Cost]]</f>
        <v>121.80000000000001</v>
      </c>
      <c r="G236" s="6">
        <v>487.2</v>
      </c>
      <c r="H236" s="2">
        <v>87</v>
      </c>
      <c r="I236" s="2">
        <v>87</v>
      </c>
      <c r="J236" s="4"/>
      <c r="K236" s="4"/>
    </row>
    <row r="237" spans="1:11" x14ac:dyDescent="0.3">
      <c r="A237" s="8" t="s">
        <v>9</v>
      </c>
      <c r="B237" s="8" t="s">
        <v>24</v>
      </c>
      <c r="C237" s="5">
        <f>SUMIFS(sale[Amount],sale[Geography],B237)</f>
        <v>173530</v>
      </c>
      <c r="D237" s="2" t="s">
        <v>44</v>
      </c>
      <c r="E237" s="2">
        <v>6370</v>
      </c>
      <c r="F237" s="2">
        <f>sale[[#This Row],[Amount]]-sale[[#This Row],[Cost]]</f>
        <v>5868.1</v>
      </c>
      <c r="G237" s="2">
        <v>501.90000000000003</v>
      </c>
      <c r="H237" s="2">
        <v>30</v>
      </c>
      <c r="I237" s="2">
        <v>30</v>
      </c>
      <c r="J237" s="4"/>
      <c r="K237" s="4"/>
    </row>
    <row r="238" spans="1:11" x14ac:dyDescent="0.3">
      <c r="A238" s="5" t="s">
        <v>35</v>
      </c>
      <c r="B238" s="5" t="s">
        <v>29</v>
      </c>
      <c r="C238" s="5">
        <f>SUMIFS(sale[Amount],sale[Geography],B238)</f>
        <v>168679</v>
      </c>
      <c r="D238" s="2" t="s">
        <v>32</v>
      </c>
      <c r="E238" s="2">
        <v>5474</v>
      </c>
      <c r="F238" s="2">
        <f>sale[[#This Row],[Amount]]-sale[[#This Row],[Cost]]</f>
        <v>4190.4799999999996</v>
      </c>
      <c r="G238" s="6">
        <v>1283.52</v>
      </c>
      <c r="H238" s="2">
        <v>168</v>
      </c>
      <c r="I238" s="2">
        <v>168</v>
      </c>
      <c r="J238" s="4"/>
      <c r="K238" s="4"/>
    </row>
    <row r="239" spans="1:11" x14ac:dyDescent="0.3">
      <c r="A239" s="8" t="s">
        <v>9</v>
      </c>
      <c r="B239" s="8" t="s">
        <v>20</v>
      </c>
      <c r="C239" s="5">
        <f>SUMIFS(sale[Amount],sale[Geography],B239)</f>
        <v>237944</v>
      </c>
      <c r="D239" s="2" t="s">
        <v>44</v>
      </c>
      <c r="E239" s="2">
        <v>3164</v>
      </c>
      <c r="F239" s="2">
        <f>sale[[#This Row],[Amount]]-sale[[#This Row],[Cost]]</f>
        <v>-1955.38</v>
      </c>
      <c r="G239" s="2">
        <v>5119.38</v>
      </c>
      <c r="H239" s="2">
        <v>306</v>
      </c>
      <c r="I239" s="2">
        <v>306</v>
      </c>
      <c r="J239" s="4"/>
      <c r="K239" s="4"/>
    </row>
    <row r="240" spans="1:11" x14ac:dyDescent="0.3">
      <c r="A240" s="5" t="s">
        <v>23</v>
      </c>
      <c r="B240" s="5" t="s">
        <v>14</v>
      </c>
      <c r="C240" s="5">
        <f>SUMIFS(sale[Amount],sale[Geography],B240)</f>
        <v>189434</v>
      </c>
      <c r="D240" s="2" t="s">
        <v>18</v>
      </c>
      <c r="E240" s="2">
        <v>1302</v>
      </c>
      <c r="F240" s="2">
        <f>sale[[#This Row],[Amount]]-sale[[#This Row],[Cost]]</f>
        <v>-3473.76</v>
      </c>
      <c r="G240" s="6">
        <v>4775.76</v>
      </c>
      <c r="H240" s="2">
        <v>402</v>
      </c>
      <c r="I240" s="2">
        <v>402</v>
      </c>
      <c r="J240" s="4"/>
      <c r="K240" s="4"/>
    </row>
    <row r="241" spans="1:11" x14ac:dyDescent="0.3">
      <c r="A241" s="8" t="s">
        <v>38</v>
      </c>
      <c r="B241" s="8" t="s">
        <v>10</v>
      </c>
      <c r="C241" s="5">
        <f>SUMIFS(sale[Amount],sale[Geography],B241)</f>
        <v>218813</v>
      </c>
      <c r="D241" s="2" t="s">
        <v>45</v>
      </c>
      <c r="E241" s="2">
        <v>7308</v>
      </c>
      <c r="F241" s="2">
        <f>sale[[#This Row],[Amount]]-sale[[#This Row],[Cost]]</f>
        <v>3913.74</v>
      </c>
      <c r="G241" s="2">
        <v>3394.26</v>
      </c>
      <c r="H241" s="2">
        <v>327</v>
      </c>
      <c r="I241" s="2">
        <v>327</v>
      </c>
      <c r="J241" s="4"/>
      <c r="K241" s="4"/>
    </row>
    <row r="242" spans="1:11" x14ac:dyDescent="0.3">
      <c r="A242" s="5" t="s">
        <v>9</v>
      </c>
      <c r="B242" s="5" t="s">
        <v>10</v>
      </c>
      <c r="C242" s="5">
        <f>SUMIFS(sale[Amount],sale[Geography],B242)</f>
        <v>218813</v>
      </c>
      <c r="D242" s="2" t="s">
        <v>44</v>
      </c>
      <c r="E242" s="2">
        <v>6132</v>
      </c>
      <c r="F242" s="2">
        <f>sale[[#This Row],[Amount]]-sale[[#This Row],[Cost]]</f>
        <v>4576.1099999999997</v>
      </c>
      <c r="G242" s="6">
        <v>1555.89</v>
      </c>
      <c r="H242" s="2">
        <v>93</v>
      </c>
      <c r="I242" s="2">
        <v>93</v>
      </c>
      <c r="J242" s="4"/>
      <c r="K242" s="4"/>
    </row>
    <row r="243" spans="1:11" x14ac:dyDescent="0.3">
      <c r="A243" s="8" t="s">
        <v>46</v>
      </c>
      <c r="B243" s="8" t="s">
        <v>14</v>
      </c>
      <c r="C243" s="5">
        <f>SUMIFS(sale[Amount],sale[Geography],B243)</f>
        <v>189434</v>
      </c>
      <c r="D243" s="2" t="s">
        <v>16</v>
      </c>
      <c r="E243" s="2">
        <v>3472</v>
      </c>
      <c r="F243" s="2">
        <f>sale[[#This Row],[Amount]]-sale[[#This Row],[Cost]]</f>
        <v>2348.8000000000002</v>
      </c>
      <c r="G243" s="2">
        <v>1123.1999999999998</v>
      </c>
      <c r="H243" s="2">
        <v>96</v>
      </c>
      <c r="I243" s="2">
        <v>96</v>
      </c>
      <c r="J243" s="4"/>
      <c r="K243" s="4"/>
    </row>
    <row r="244" spans="1:11" x14ac:dyDescent="0.3">
      <c r="A244" s="5" t="s">
        <v>13</v>
      </c>
      <c r="B244" s="5" t="s">
        <v>24</v>
      </c>
      <c r="C244" s="5">
        <f>SUMIFS(sale[Amount],sale[Geography],B244)</f>
        <v>173530</v>
      </c>
      <c r="D244" s="2" t="s">
        <v>21</v>
      </c>
      <c r="E244" s="2">
        <v>9660</v>
      </c>
      <c r="F244" s="2">
        <f>sale[[#This Row],[Amount]]-sale[[#This Row],[Cost]]</f>
        <v>9485.31</v>
      </c>
      <c r="G244" s="6">
        <v>174.69</v>
      </c>
      <c r="H244" s="2">
        <v>27</v>
      </c>
      <c r="I244" s="2">
        <v>27</v>
      </c>
      <c r="J244" s="4"/>
      <c r="K244" s="4"/>
    </row>
    <row r="245" spans="1:11" x14ac:dyDescent="0.3">
      <c r="A245" s="8" t="s">
        <v>17</v>
      </c>
      <c r="B245" s="8" t="s">
        <v>29</v>
      </c>
      <c r="C245" s="5">
        <f>SUMIFS(sale[Amount],sale[Geography],B245)</f>
        <v>168679</v>
      </c>
      <c r="D245" s="2" t="s">
        <v>42</v>
      </c>
      <c r="E245" s="2">
        <v>2436</v>
      </c>
      <c r="F245" s="2">
        <f>sale[[#This Row],[Amount]]-sale[[#This Row],[Cost]]</f>
        <v>1881.6</v>
      </c>
      <c r="G245" s="2">
        <v>554.4</v>
      </c>
      <c r="H245" s="2">
        <v>99</v>
      </c>
      <c r="I245" s="2">
        <v>99</v>
      </c>
      <c r="J245" s="4"/>
      <c r="K245" s="4"/>
    </row>
    <row r="246" spans="1:11" x14ac:dyDescent="0.3">
      <c r="A246" s="5" t="s">
        <v>17</v>
      </c>
      <c r="B246" s="5" t="s">
        <v>29</v>
      </c>
      <c r="C246" s="5">
        <f>SUMIFS(sale[Amount],sale[Geography],B246)</f>
        <v>168679</v>
      </c>
      <c r="D246" s="2" t="s">
        <v>27</v>
      </c>
      <c r="E246" s="2">
        <v>9506</v>
      </c>
      <c r="F246" s="2">
        <f>sale[[#This Row],[Amount]]-sale[[#This Row],[Cost]]</f>
        <v>8429.81</v>
      </c>
      <c r="G246" s="6">
        <v>1076.1899999999998</v>
      </c>
      <c r="H246" s="2">
        <v>87</v>
      </c>
      <c r="I246" s="2">
        <v>87</v>
      </c>
      <c r="J246" s="4"/>
      <c r="K246" s="4"/>
    </row>
    <row r="247" spans="1:11" x14ac:dyDescent="0.3">
      <c r="A247" s="8" t="s">
        <v>46</v>
      </c>
      <c r="B247" s="8" t="s">
        <v>10</v>
      </c>
      <c r="C247" s="5">
        <f>SUMIFS(sale[Amount],sale[Geography],B247)</f>
        <v>218813</v>
      </c>
      <c r="D247" s="2" t="s">
        <v>36</v>
      </c>
      <c r="E247" s="2">
        <v>245</v>
      </c>
      <c r="F247" s="2">
        <f>sale[[#This Row],[Amount]]-sale[[#This Row],[Cost]]</f>
        <v>-2347</v>
      </c>
      <c r="G247" s="2">
        <v>2592</v>
      </c>
      <c r="H247" s="2">
        <v>288</v>
      </c>
      <c r="I247" s="2">
        <v>288</v>
      </c>
      <c r="J247" s="4"/>
      <c r="K247" s="4"/>
    </row>
    <row r="248" spans="1:11" x14ac:dyDescent="0.3">
      <c r="A248" s="5" t="s">
        <v>13</v>
      </c>
      <c r="B248" s="5" t="s">
        <v>14</v>
      </c>
      <c r="C248" s="5">
        <f>SUMIFS(sale[Amount],sale[Geography],B248)</f>
        <v>189434</v>
      </c>
      <c r="D248" s="2" t="s">
        <v>34</v>
      </c>
      <c r="E248" s="2">
        <v>2702</v>
      </c>
      <c r="F248" s="2">
        <f>sale[[#This Row],[Amount]]-sale[[#This Row],[Cost]]</f>
        <v>-1153.0599999999995</v>
      </c>
      <c r="G248" s="6">
        <v>3855.0599999999995</v>
      </c>
      <c r="H248" s="2">
        <v>363</v>
      </c>
      <c r="I248" s="2">
        <v>363</v>
      </c>
      <c r="J248" s="4"/>
      <c r="K248" s="4"/>
    </row>
    <row r="249" spans="1:11" x14ac:dyDescent="0.3">
      <c r="A249" s="8" t="s">
        <v>46</v>
      </c>
      <c r="B249" s="8" t="s">
        <v>41</v>
      </c>
      <c r="C249" s="5">
        <f>SUMIFS(sale[Amount],sale[Geography],B249)</f>
        <v>252469</v>
      </c>
      <c r="D249" s="2" t="s">
        <v>28</v>
      </c>
      <c r="E249" s="2">
        <v>700</v>
      </c>
      <c r="F249" s="2">
        <f>sale[[#This Row],[Amount]]-sale[[#This Row],[Cost]]</f>
        <v>429.43</v>
      </c>
      <c r="G249" s="2">
        <v>270.57</v>
      </c>
      <c r="H249" s="2">
        <v>87</v>
      </c>
      <c r="I249" s="2">
        <v>87</v>
      </c>
      <c r="J249" s="4"/>
      <c r="K249" s="4"/>
    </row>
    <row r="250" spans="1:11" x14ac:dyDescent="0.3">
      <c r="A250" s="5" t="s">
        <v>23</v>
      </c>
      <c r="B250" s="5" t="s">
        <v>41</v>
      </c>
      <c r="C250" s="5">
        <f>SUMIFS(sale[Amount],sale[Geography],B250)</f>
        <v>252469</v>
      </c>
      <c r="D250" s="2" t="s">
        <v>28</v>
      </c>
      <c r="E250" s="2">
        <v>3759</v>
      </c>
      <c r="F250" s="2">
        <f>sale[[#This Row],[Amount]]-sale[[#This Row],[Cost]]</f>
        <v>3292.5</v>
      </c>
      <c r="G250" s="6">
        <v>466.5</v>
      </c>
      <c r="H250" s="2">
        <v>150</v>
      </c>
      <c r="I250" s="2">
        <v>150</v>
      </c>
      <c r="J250" s="4"/>
      <c r="K250" s="4"/>
    </row>
    <row r="251" spans="1:11" x14ac:dyDescent="0.3">
      <c r="A251" s="8" t="s">
        <v>37</v>
      </c>
      <c r="B251" s="8" t="s">
        <v>14</v>
      </c>
      <c r="C251" s="5">
        <f>SUMIFS(sale[Amount],sale[Geography],B251)</f>
        <v>189434</v>
      </c>
      <c r="D251" s="2" t="s">
        <v>28</v>
      </c>
      <c r="E251" s="2">
        <v>1589</v>
      </c>
      <c r="F251" s="2">
        <f>sale[[#This Row],[Amount]]-sale[[#This Row],[Cost]]</f>
        <v>646.67000000000007</v>
      </c>
      <c r="G251" s="2">
        <v>942.32999999999993</v>
      </c>
      <c r="H251" s="2">
        <v>303</v>
      </c>
      <c r="I251" s="2">
        <v>303</v>
      </c>
      <c r="J251" s="4"/>
      <c r="K251" s="4"/>
    </row>
    <row r="252" spans="1:11" x14ac:dyDescent="0.3">
      <c r="A252" s="5" t="s">
        <v>33</v>
      </c>
      <c r="B252" s="5" t="s">
        <v>14</v>
      </c>
      <c r="C252" s="5">
        <f>SUMIFS(sale[Amount],sale[Geography],B252)</f>
        <v>189434</v>
      </c>
      <c r="D252" s="2" t="s">
        <v>45</v>
      </c>
      <c r="E252" s="2">
        <v>5194</v>
      </c>
      <c r="F252" s="2">
        <f>sale[[#This Row],[Amount]]-sale[[#This Row],[Cost]]</f>
        <v>2204.56</v>
      </c>
      <c r="G252" s="6">
        <v>2989.44</v>
      </c>
      <c r="H252" s="2">
        <v>288</v>
      </c>
      <c r="I252" s="2">
        <v>288</v>
      </c>
      <c r="J252" s="4"/>
      <c r="K252" s="4"/>
    </row>
    <row r="253" spans="1:11" x14ac:dyDescent="0.3">
      <c r="A253" s="8" t="s">
        <v>46</v>
      </c>
      <c r="B253" s="8" t="s">
        <v>20</v>
      </c>
      <c r="C253" s="5">
        <f>SUMIFS(sale[Amount],sale[Geography],B253)</f>
        <v>237944</v>
      </c>
      <c r="D253" s="2" t="s">
        <v>12</v>
      </c>
      <c r="E253" s="2">
        <v>945</v>
      </c>
      <c r="F253" s="2">
        <f>sale[[#This Row],[Amount]]-sale[[#This Row],[Cost]]</f>
        <v>245.25</v>
      </c>
      <c r="G253" s="2">
        <v>699.75</v>
      </c>
      <c r="H253" s="2">
        <v>75</v>
      </c>
      <c r="I253" s="2">
        <v>75</v>
      </c>
      <c r="J253" s="4"/>
      <c r="K253" s="4"/>
    </row>
    <row r="254" spans="1:11" x14ac:dyDescent="0.3">
      <c r="A254" s="5" t="s">
        <v>9</v>
      </c>
      <c r="B254" s="5" t="s">
        <v>29</v>
      </c>
      <c r="C254" s="5">
        <f>SUMIFS(sale[Amount],sale[Geography],B254)</f>
        <v>168679</v>
      </c>
      <c r="D254" s="2" t="s">
        <v>30</v>
      </c>
      <c r="E254" s="2">
        <v>1988</v>
      </c>
      <c r="F254" s="2">
        <f>sale[[#This Row],[Amount]]-sale[[#This Row],[Cost]]</f>
        <v>1762.19</v>
      </c>
      <c r="G254" s="6">
        <v>225.81</v>
      </c>
      <c r="H254" s="2">
        <v>39</v>
      </c>
      <c r="I254" s="2">
        <v>39</v>
      </c>
      <c r="J254" s="4"/>
      <c r="K254" s="4"/>
    </row>
    <row r="255" spans="1:11" x14ac:dyDescent="0.3">
      <c r="A255" s="8" t="s">
        <v>23</v>
      </c>
      <c r="B255" s="8" t="s">
        <v>41</v>
      </c>
      <c r="C255" s="5">
        <f>SUMIFS(sale[Amount],sale[Geography],B255)</f>
        <v>252469</v>
      </c>
      <c r="D255" s="2" t="s">
        <v>15</v>
      </c>
      <c r="E255" s="2">
        <v>6734</v>
      </c>
      <c r="F255" s="2">
        <f>sale[[#This Row],[Amount]]-sale[[#This Row],[Cost]]</f>
        <v>5670.05</v>
      </c>
      <c r="G255" s="2">
        <v>1063.95</v>
      </c>
      <c r="H255" s="2">
        <v>123</v>
      </c>
      <c r="I255" s="2">
        <v>123</v>
      </c>
      <c r="J255" s="4"/>
      <c r="K255" s="4"/>
    </row>
    <row r="256" spans="1:11" x14ac:dyDescent="0.3">
      <c r="A256" s="5" t="s">
        <v>9</v>
      </c>
      <c r="B256" s="5" t="s">
        <v>20</v>
      </c>
      <c r="C256" s="5">
        <f>SUMIFS(sale[Amount],sale[Geography],B256)</f>
        <v>237944</v>
      </c>
      <c r="D256" s="2" t="s">
        <v>18</v>
      </c>
      <c r="E256" s="2">
        <v>217</v>
      </c>
      <c r="F256" s="2">
        <f>sale[[#This Row],[Amount]]-sale[[#This Row],[Cost]]</f>
        <v>-210.68</v>
      </c>
      <c r="G256" s="6">
        <v>427.68</v>
      </c>
      <c r="H256" s="2">
        <v>36</v>
      </c>
      <c r="I256" s="2">
        <v>36</v>
      </c>
      <c r="J256" s="4"/>
      <c r="K256" s="4"/>
    </row>
    <row r="257" spans="1:11" x14ac:dyDescent="0.3">
      <c r="A257" s="8" t="s">
        <v>35</v>
      </c>
      <c r="B257" s="8" t="s">
        <v>41</v>
      </c>
      <c r="C257" s="5">
        <f>SUMIFS(sale[Amount],sale[Geography],B257)</f>
        <v>252469</v>
      </c>
      <c r="D257" s="2" t="s">
        <v>31</v>
      </c>
      <c r="E257" s="2">
        <v>6279</v>
      </c>
      <c r="F257" s="2">
        <f>sale[[#This Row],[Amount]]-sale[[#This Row],[Cost]]</f>
        <v>3963.51</v>
      </c>
      <c r="G257" s="2">
        <v>2315.4899999999998</v>
      </c>
      <c r="H257" s="2">
        <v>237</v>
      </c>
      <c r="I257" s="2">
        <v>237</v>
      </c>
      <c r="J257" s="4"/>
      <c r="K257" s="4"/>
    </row>
    <row r="258" spans="1:11" x14ac:dyDescent="0.3">
      <c r="A258" s="5" t="s">
        <v>9</v>
      </c>
      <c r="B258" s="5" t="s">
        <v>20</v>
      </c>
      <c r="C258" s="5">
        <f>SUMIFS(sale[Amount],sale[Geography],B258)</f>
        <v>237944</v>
      </c>
      <c r="D258" s="2" t="s">
        <v>12</v>
      </c>
      <c r="E258" s="2">
        <v>4424</v>
      </c>
      <c r="F258" s="2">
        <f>sale[[#This Row],[Amount]]-sale[[#This Row],[Cost]]</f>
        <v>2548.67</v>
      </c>
      <c r="G258" s="6">
        <v>1875.33</v>
      </c>
      <c r="H258" s="2">
        <v>201</v>
      </c>
      <c r="I258" s="2">
        <v>201</v>
      </c>
      <c r="J258" s="4"/>
      <c r="K258" s="4"/>
    </row>
    <row r="259" spans="1:11" x14ac:dyDescent="0.3">
      <c r="A259" s="8" t="s">
        <v>37</v>
      </c>
      <c r="B259" s="8" t="s">
        <v>20</v>
      </c>
      <c r="C259" s="5">
        <f>SUMIFS(sale[Amount],sale[Geography],B259)</f>
        <v>237944</v>
      </c>
      <c r="D259" s="2" t="s">
        <v>28</v>
      </c>
      <c r="E259" s="2">
        <v>189</v>
      </c>
      <c r="F259" s="2">
        <f>sale[[#This Row],[Amount]]-sale[[#This Row],[Cost]]</f>
        <v>39.72</v>
      </c>
      <c r="G259" s="2">
        <v>149.28</v>
      </c>
      <c r="H259" s="2">
        <v>48</v>
      </c>
      <c r="I259" s="2">
        <v>48</v>
      </c>
      <c r="J259" s="4"/>
      <c r="K259" s="4"/>
    </row>
    <row r="260" spans="1:11" x14ac:dyDescent="0.3">
      <c r="A260" s="5" t="s">
        <v>35</v>
      </c>
      <c r="B260" s="5" t="s">
        <v>14</v>
      </c>
      <c r="C260" s="5">
        <f>SUMIFS(sale[Amount],sale[Geography],B260)</f>
        <v>189434</v>
      </c>
      <c r="D260" s="2" t="s">
        <v>31</v>
      </c>
      <c r="E260" s="2">
        <v>490</v>
      </c>
      <c r="F260" s="2">
        <f>sale[[#This Row],[Amount]]-sale[[#This Row],[Cost]]</f>
        <v>-330.67999999999995</v>
      </c>
      <c r="G260" s="6">
        <v>820.68</v>
      </c>
      <c r="H260" s="2">
        <v>84</v>
      </c>
      <c r="I260" s="2">
        <v>84</v>
      </c>
      <c r="J260" s="4"/>
      <c r="K260" s="4"/>
    </row>
    <row r="261" spans="1:11" x14ac:dyDescent="0.3">
      <c r="A261" s="8" t="s">
        <v>13</v>
      </c>
      <c r="B261" s="8" t="s">
        <v>10</v>
      </c>
      <c r="C261" s="5">
        <f>SUMIFS(sale[Amount],sale[Geography],B261)</f>
        <v>218813</v>
      </c>
      <c r="D261" s="2" t="s">
        <v>36</v>
      </c>
      <c r="E261" s="2">
        <v>434</v>
      </c>
      <c r="F261" s="2">
        <f>sale[[#This Row],[Amount]]-sale[[#This Row],[Cost]]</f>
        <v>-349</v>
      </c>
      <c r="G261" s="2">
        <v>783</v>
      </c>
      <c r="H261" s="2">
        <v>87</v>
      </c>
      <c r="I261" s="2">
        <v>87</v>
      </c>
      <c r="J261" s="4"/>
      <c r="K261" s="4"/>
    </row>
    <row r="262" spans="1:11" x14ac:dyDescent="0.3">
      <c r="A262" s="5" t="s">
        <v>33</v>
      </c>
      <c r="B262" s="5" t="s">
        <v>29</v>
      </c>
      <c r="C262" s="5">
        <f>SUMIFS(sale[Amount],sale[Geography],B262)</f>
        <v>168679</v>
      </c>
      <c r="D262" s="2" t="s">
        <v>11</v>
      </c>
      <c r="E262" s="2">
        <v>10129</v>
      </c>
      <c r="F262" s="2">
        <f>sale[[#This Row],[Amount]]-sale[[#This Row],[Cost]]</f>
        <v>5608.12</v>
      </c>
      <c r="G262" s="6">
        <v>4520.88</v>
      </c>
      <c r="H262" s="2">
        <v>312</v>
      </c>
      <c r="I262" s="2">
        <v>312</v>
      </c>
      <c r="J262" s="4"/>
      <c r="K262" s="4"/>
    </row>
    <row r="263" spans="1:11" x14ac:dyDescent="0.3">
      <c r="A263" s="8" t="s">
        <v>38</v>
      </c>
      <c r="B263" s="8" t="s">
        <v>24</v>
      </c>
      <c r="C263" s="5">
        <f>SUMIFS(sale[Amount],sale[Geography],B263)</f>
        <v>173530</v>
      </c>
      <c r="D263" s="2" t="s">
        <v>45</v>
      </c>
      <c r="E263" s="2">
        <v>1652</v>
      </c>
      <c r="F263" s="2">
        <f>sale[[#This Row],[Amount]]-sale[[#This Row],[Cost]]</f>
        <v>593.24</v>
      </c>
      <c r="G263" s="2">
        <v>1058.76</v>
      </c>
      <c r="H263" s="2">
        <v>102</v>
      </c>
      <c r="I263" s="2">
        <v>102</v>
      </c>
      <c r="J263" s="4"/>
      <c r="K263" s="4"/>
    </row>
    <row r="264" spans="1:11" x14ac:dyDescent="0.3">
      <c r="A264" s="5" t="s">
        <v>13</v>
      </c>
      <c r="B264" s="5" t="s">
        <v>29</v>
      </c>
      <c r="C264" s="5">
        <f>SUMIFS(sale[Amount],sale[Geography],B264)</f>
        <v>168679</v>
      </c>
      <c r="D264" s="2" t="s">
        <v>36</v>
      </c>
      <c r="E264" s="2">
        <v>6433</v>
      </c>
      <c r="F264" s="2">
        <f>sale[[#This Row],[Amount]]-sale[[#This Row],[Cost]]</f>
        <v>5731</v>
      </c>
      <c r="G264" s="6">
        <v>702</v>
      </c>
      <c r="H264" s="2">
        <v>78</v>
      </c>
      <c r="I264" s="2">
        <v>78</v>
      </c>
      <c r="J264" s="4"/>
      <c r="K264" s="4"/>
    </row>
    <row r="265" spans="1:11" x14ac:dyDescent="0.3">
      <c r="A265" s="8" t="s">
        <v>38</v>
      </c>
      <c r="B265" s="8" t="s">
        <v>41</v>
      </c>
      <c r="C265" s="5">
        <f>SUMIFS(sale[Amount],sale[Geography],B265)</f>
        <v>252469</v>
      </c>
      <c r="D265" s="2" t="s">
        <v>39</v>
      </c>
      <c r="E265" s="2">
        <v>2212</v>
      </c>
      <c r="F265" s="2">
        <f>sale[[#This Row],[Amount]]-sale[[#This Row],[Cost]]</f>
        <v>1452.67</v>
      </c>
      <c r="G265" s="2">
        <v>759.33</v>
      </c>
      <c r="H265" s="2">
        <v>117</v>
      </c>
      <c r="I265" s="2">
        <v>117</v>
      </c>
      <c r="J265" s="4"/>
      <c r="K265" s="4"/>
    </row>
    <row r="266" spans="1:11" x14ac:dyDescent="0.3">
      <c r="A266" s="5" t="s">
        <v>19</v>
      </c>
      <c r="B266" s="5" t="s">
        <v>14</v>
      </c>
      <c r="C266" s="5">
        <f>SUMIFS(sale[Amount],sale[Geography],B266)</f>
        <v>189434</v>
      </c>
      <c r="D266" s="2" t="s">
        <v>32</v>
      </c>
      <c r="E266" s="2">
        <v>609</v>
      </c>
      <c r="F266" s="2">
        <f>sale[[#This Row],[Amount]]-sale[[#This Row],[Cost]]</f>
        <v>-147.36000000000001</v>
      </c>
      <c r="G266" s="6">
        <v>756.36</v>
      </c>
      <c r="H266" s="2">
        <v>99</v>
      </c>
      <c r="I266" s="2">
        <v>99</v>
      </c>
      <c r="J266" s="4"/>
      <c r="K266" s="4"/>
    </row>
    <row r="267" spans="1:11" x14ac:dyDescent="0.3">
      <c r="A267" s="8" t="s">
        <v>9</v>
      </c>
      <c r="B267" s="8" t="s">
        <v>14</v>
      </c>
      <c r="C267" s="5">
        <f>SUMIFS(sale[Amount],sale[Geography],B267)</f>
        <v>189434</v>
      </c>
      <c r="D267" s="2" t="s">
        <v>40</v>
      </c>
      <c r="E267" s="2">
        <v>1638</v>
      </c>
      <c r="F267" s="2">
        <f>sale[[#This Row],[Amount]]-sale[[#This Row],[Cost]]</f>
        <v>1399.44</v>
      </c>
      <c r="G267" s="2">
        <v>238.56</v>
      </c>
      <c r="H267" s="2">
        <v>48</v>
      </c>
      <c r="I267" s="2">
        <v>48</v>
      </c>
      <c r="J267" s="4"/>
      <c r="K267" s="4"/>
    </row>
    <row r="268" spans="1:11" x14ac:dyDescent="0.3">
      <c r="A268" s="5" t="s">
        <v>33</v>
      </c>
      <c r="B268" s="5" t="s">
        <v>41</v>
      </c>
      <c r="C268" s="5">
        <f>SUMIFS(sale[Amount],sale[Geography],B268)</f>
        <v>252469</v>
      </c>
      <c r="D268" s="2" t="s">
        <v>22</v>
      </c>
      <c r="E268" s="2">
        <v>3829</v>
      </c>
      <c r="F268" s="2">
        <f>sale[[#This Row],[Amount]]-sale[[#This Row],[Cost]]</f>
        <v>3547.48</v>
      </c>
      <c r="G268" s="6">
        <v>281.52</v>
      </c>
      <c r="H268" s="2">
        <v>24</v>
      </c>
      <c r="I268" s="2">
        <v>24</v>
      </c>
      <c r="J268" s="4"/>
      <c r="K268" s="4"/>
    </row>
    <row r="269" spans="1:11" x14ac:dyDescent="0.3">
      <c r="A269" s="8" t="s">
        <v>9</v>
      </c>
      <c r="B269" s="8" t="s">
        <v>24</v>
      </c>
      <c r="C269" s="5">
        <f>SUMIFS(sale[Amount],sale[Geography],B269)</f>
        <v>173530</v>
      </c>
      <c r="D269" s="2" t="s">
        <v>22</v>
      </c>
      <c r="E269" s="2">
        <v>5775</v>
      </c>
      <c r="F269" s="2">
        <f>sale[[#This Row],[Amount]]-sale[[#This Row],[Cost]]</f>
        <v>5282.34</v>
      </c>
      <c r="G269" s="2">
        <v>492.66</v>
      </c>
      <c r="H269" s="2">
        <v>42</v>
      </c>
      <c r="I269" s="2">
        <v>42</v>
      </c>
      <c r="J269" s="4"/>
      <c r="K269" s="4"/>
    </row>
    <row r="270" spans="1:11" x14ac:dyDescent="0.3">
      <c r="A270" s="5" t="s">
        <v>23</v>
      </c>
      <c r="B270" s="5" t="s">
        <v>14</v>
      </c>
      <c r="C270" s="5">
        <f>SUMIFS(sale[Amount],sale[Geography],B270)</f>
        <v>189434</v>
      </c>
      <c r="D270" s="2" t="s">
        <v>34</v>
      </c>
      <c r="E270" s="2">
        <v>1071</v>
      </c>
      <c r="F270" s="2">
        <f>sale[[#This Row],[Amount]]-sale[[#This Row],[Cost]]</f>
        <v>-1796.3999999999996</v>
      </c>
      <c r="G270" s="6">
        <v>2867.3999999999996</v>
      </c>
      <c r="H270" s="2">
        <v>270</v>
      </c>
      <c r="I270" s="2">
        <v>270</v>
      </c>
      <c r="J270" s="4"/>
      <c r="K270" s="4"/>
    </row>
    <row r="271" spans="1:11" x14ac:dyDescent="0.3">
      <c r="A271" s="8" t="s">
        <v>13</v>
      </c>
      <c r="B271" s="8" t="s">
        <v>20</v>
      </c>
      <c r="C271" s="5">
        <f>SUMIFS(sale[Amount],sale[Geography],B271)</f>
        <v>237944</v>
      </c>
      <c r="D271" s="2" t="s">
        <v>39</v>
      </c>
      <c r="E271" s="2">
        <v>5019</v>
      </c>
      <c r="F271" s="2">
        <f>sale[[#This Row],[Amount]]-sale[[#This Row],[Cost]]</f>
        <v>4045.5</v>
      </c>
      <c r="G271" s="2">
        <v>973.5</v>
      </c>
      <c r="H271" s="2">
        <v>150</v>
      </c>
      <c r="I271" s="2">
        <v>150</v>
      </c>
      <c r="J271" s="4"/>
      <c r="K271" s="4"/>
    </row>
    <row r="272" spans="1:11" x14ac:dyDescent="0.3">
      <c r="A272" s="5" t="s">
        <v>37</v>
      </c>
      <c r="B272" s="5" t="s">
        <v>10</v>
      </c>
      <c r="C272" s="5">
        <f>SUMIFS(sale[Amount],sale[Geography],B272)</f>
        <v>218813</v>
      </c>
      <c r="D272" s="2" t="s">
        <v>22</v>
      </c>
      <c r="E272" s="2">
        <v>2863</v>
      </c>
      <c r="F272" s="2">
        <f>sale[[#This Row],[Amount]]-sale[[#This Row],[Cost]]</f>
        <v>2370.34</v>
      </c>
      <c r="G272" s="6">
        <v>492.66</v>
      </c>
      <c r="H272" s="2">
        <v>42</v>
      </c>
      <c r="I272" s="2">
        <v>42</v>
      </c>
      <c r="J272" s="4"/>
      <c r="K272" s="4"/>
    </row>
    <row r="273" spans="1:11" x14ac:dyDescent="0.3">
      <c r="A273" s="8" t="s">
        <v>9</v>
      </c>
      <c r="B273" s="8" t="s">
        <v>14</v>
      </c>
      <c r="C273" s="5">
        <f>SUMIFS(sale[Amount],sale[Geography],B273)</f>
        <v>189434</v>
      </c>
      <c r="D273" s="2" t="s">
        <v>43</v>
      </c>
      <c r="E273" s="2">
        <v>1617</v>
      </c>
      <c r="F273" s="2">
        <f>sale[[#This Row],[Amount]]-sale[[#This Row],[Cost]]</f>
        <v>714.84</v>
      </c>
      <c r="G273" s="2">
        <v>902.16</v>
      </c>
      <c r="H273" s="2">
        <v>126</v>
      </c>
      <c r="I273" s="2">
        <v>126</v>
      </c>
      <c r="J273" s="4"/>
      <c r="K273" s="4"/>
    </row>
    <row r="274" spans="1:11" x14ac:dyDescent="0.3">
      <c r="A274" s="5" t="s">
        <v>23</v>
      </c>
      <c r="B274" s="5" t="s">
        <v>10</v>
      </c>
      <c r="C274" s="5">
        <f>SUMIFS(sale[Amount],sale[Geography],B274)</f>
        <v>218813</v>
      </c>
      <c r="D274" s="2" t="s">
        <v>42</v>
      </c>
      <c r="E274" s="2">
        <v>6818</v>
      </c>
      <c r="F274" s="2">
        <f>sale[[#This Row],[Amount]]-sale[[#This Row],[Cost]]</f>
        <v>6784.4</v>
      </c>
      <c r="G274" s="6">
        <v>33.599999999999994</v>
      </c>
      <c r="H274" s="2">
        <v>6</v>
      </c>
      <c r="I274" s="2">
        <v>6</v>
      </c>
      <c r="J274" s="4"/>
      <c r="K274" s="4"/>
    </row>
    <row r="275" spans="1:11" x14ac:dyDescent="0.3">
      <c r="A275" s="8" t="s">
        <v>38</v>
      </c>
      <c r="B275" s="8" t="s">
        <v>14</v>
      </c>
      <c r="C275" s="5">
        <f>SUMIFS(sale[Amount],sale[Geography],B275)</f>
        <v>189434</v>
      </c>
      <c r="D275" s="2" t="s">
        <v>22</v>
      </c>
      <c r="E275" s="2">
        <v>6657</v>
      </c>
      <c r="F275" s="2">
        <f>sale[[#This Row],[Amount]]-sale[[#This Row],[Cost]]</f>
        <v>3419.52</v>
      </c>
      <c r="G275" s="2">
        <v>3237.48</v>
      </c>
      <c r="H275" s="2">
        <v>276</v>
      </c>
      <c r="I275" s="2">
        <v>276</v>
      </c>
      <c r="J275" s="4"/>
      <c r="K275" s="4"/>
    </row>
    <row r="276" spans="1:11" x14ac:dyDescent="0.3">
      <c r="A276" s="5" t="s">
        <v>38</v>
      </c>
      <c r="B276" s="5" t="s">
        <v>41</v>
      </c>
      <c r="C276" s="5">
        <f>SUMIFS(sale[Amount],sale[Geography],B276)</f>
        <v>252469</v>
      </c>
      <c r="D276" s="2" t="s">
        <v>28</v>
      </c>
      <c r="E276" s="2">
        <v>2919</v>
      </c>
      <c r="F276" s="2">
        <f>sale[[#This Row],[Amount]]-sale[[#This Row],[Cost]]</f>
        <v>2629.77</v>
      </c>
      <c r="G276" s="6">
        <v>289.22999999999996</v>
      </c>
      <c r="H276" s="2">
        <v>93</v>
      </c>
      <c r="I276" s="2">
        <v>93</v>
      </c>
      <c r="J276" s="4"/>
      <c r="K276" s="4"/>
    </row>
    <row r="277" spans="1:11" x14ac:dyDescent="0.3">
      <c r="A277" s="8" t="s">
        <v>37</v>
      </c>
      <c r="B277" s="8" t="s">
        <v>20</v>
      </c>
      <c r="C277" s="5">
        <f>SUMIFS(sale[Amount],sale[Geography],B277)</f>
        <v>237944</v>
      </c>
      <c r="D277" s="2" t="s">
        <v>30</v>
      </c>
      <c r="E277" s="2">
        <v>3094</v>
      </c>
      <c r="F277" s="2">
        <f>sale[[#This Row],[Amount]]-sale[[#This Row],[Cost]]</f>
        <v>1669.66</v>
      </c>
      <c r="G277" s="2">
        <v>1424.34</v>
      </c>
      <c r="H277" s="2">
        <v>246</v>
      </c>
      <c r="I277" s="2">
        <v>246</v>
      </c>
      <c r="J277" s="4"/>
      <c r="K277" s="4"/>
    </row>
    <row r="278" spans="1:11" x14ac:dyDescent="0.3">
      <c r="A278" s="5" t="s">
        <v>23</v>
      </c>
      <c r="B278" s="5" t="s">
        <v>24</v>
      </c>
      <c r="C278" s="5">
        <f>SUMIFS(sale[Amount],sale[Geography],B278)</f>
        <v>173530</v>
      </c>
      <c r="D278" s="2" t="s">
        <v>40</v>
      </c>
      <c r="E278" s="2">
        <v>2989</v>
      </c>
      <c r="F278" s="2">
        <f>sale[[#This Row],[Amount]]-sale[[#This Row],[Cost]]</f>
        <v>2974.09</v>
      </c>
      <c r="G278" s="6">
        <v>14.91</v>
      </c>
      <c r="H278" s="2">
        <v>3</v>
      </c>
      <c r="I278" s="2">
        <v>3</v>
      </c>
      <c r="J278" s="4"/>
      <c r="K278" s="4"/>
    </row>
    <row r="279" spans="1:11" x14ac:dyDescent="0.3">
      <c r="A279" s="8" t="s">
        <v>13</v>
      </c>
      <c r="B279" s="8" t="s">
        <v>29</v>
      </c>
      <c r="C279" s="5">
        <f>SUMIFS(sale[Amount],sale[Geography],B279)</f>
        <v>168679</v>
      </c>
      <c r="D279" s="2" t="s">
        <v>44</v>
      </c>
      <c r="E279" s="2">
        <v>2268</v>
      </c>
      <c r="F279" s="2">
        <f>sale[[#This Row],[Amount]]-sale[[#This Row],[Cost]]</f>
        <v>1214.01</v>
      </c>
      <c r="G279" s="2">
        <v>1053.99</v>
      </c>
      <c r="H279" s="2">
        <v>63</v>
      </c>
      <c r="I279" s="2">
        <v>63</v>
      </c>
      <c r="J279" s="4"/>
      <c r="K279" s="4"/>
    </row>
    <row r="280" spans="1:11" x14ac:dyDescent="0.3">
      <c r="A280" s="5" t="s">
        <v>35</v>
      </c>
      <c r="B280" s="5" t="s">
        <v>14</v>
      </c>
      <c r="C280" s="5">
        <f>SUMIFS(sale[Amount],sale[Geography],B280)</f>
        <v>189434</v>
      </c>
      <c r="D280" s="2" t="s">
        <v>30</v>
      </c>
      <c r="E280" s="2">
        <v>4753</v>
      </c>
      <c r="F280" s="2">
        <f>sale[[#This Row],[Amount]]-sale[[#This Row],[Cost]]</f>
        <v>3328.66</v>
      </c>
      <c r="G280" s="6">
        <v>1424.34</v>
      </c>
      <c r="H280" s="2">
        <v>246</v>
      </c>
      <c r="I280" s="2">
        <v>246</v>
      </c>
      <c r="J280" s="4"/>
      <c r="K280" s="4"/>
    </row>
    <row r="281" spans="1:11" x14ac:dyDescent="0.3">
      <c r="A281" s="8" t="s">
        <v>37</v>
      </c>
      <c r="B281" s="8" t="s">
        <v>41</v>
      </c>
      <c r="C281" s="5">
        <f>SUMIFS(sale[Amount],sale[Geography],B281)</f>
        <v>252469</v>
      </c>
      <c r="D281" s="2" t="s">
        <v>32</v>
      </c>
      <c r="E281" s="2">
        <v>7511</v>
      </c>
      <c r="F281" s="2">
        <f>sale[[#This Row],[Amount]]-sale[[#This Row],[Cost]]</f>
        <v>6594.2</v>
      </c>
      <c r="G281" s="2">
        <v>916.8</v>
      </c>
      <c r="H281" s="2">
        <v>120</v>
      </c>
      <c r="I281" s="2">
        <v>120</v>
      </c>
      <c r="J281" s="4"/>
      <c r="K281" s="4"/>
    </row>
    <row r="282" spans="1:11" x14ac:dyDescent="0.3">
      <c r="A282" s="5" t="s">
        <v>37</v>
      </c>
      <c r="B282" s="5" t="s">
        <v>29</v>
      </c>
      <c r="C282" s="5">
        <f>SUMIFS(sale[Amount],sale[Geography],B282)</f>
        <v>168679</v>
      </c>
      <c r="D282" s="2" t="s">
        <v>30</v>
      </c>
      <c r="E282" s="2">
        <v>4326</v>
      </c>
      <c r="F282" s="2">
        <f>sale[[#This Row],[Amount]]-sale[[#This Row],[Cost]]</f>
        <v>2311.08</v>
      </c>
      <c r="G282" s="6">
        <v>2014.92</v>
      </c>
      <c r="H282" s="2">
        <v>348</v>
      </c>
      <c r="I282" s="2">
        <v>348</v>
      </c>
      <c r="J282" s="4"/>
      <c r="K282" s="4"/>
    </row>
    <row r="283" spans="1:11" x14ac:dyDescent="0.3">
      <c r="A283" s="8" t="s">
        <v>19</v>
      </c>
      <c r="B283" s="8" t="s">
        <v>41</v>
      </c>
      <c r="C283" s="5">
        <f>SUMIFS(sale[Amount],sale[Geography],B283)</f>
        <v>252469</v>
      </c>
      <c r="D283" s="2" t="s">
        <v>39</v>
      </c>
      <c r="E283" s="2">
        <v>4935</v>
      </c>
      <c r="F283" s="2">
        <f>sale[[#This Row],[Amount]]-sale[[#This Row],[Cost]]</f>
        <v>4117.26</v>
      </c>
      <c r="G283" s="2">
        <v>817.74</v>
      </c>
      <c r="H283" s="2">
        <v>126</v>
      </c>
      <c r="I283" s="2">
        <v>126</v>
      </c>
      <c r="J283" s="4"/>
      <c r="K283" s="4"/>
    </row>
    <row r="284" spans="1:11" x14ac:dyDescent="0.3">
      <c r="A284" s="5" t="s">
        <v>23</v>
      </c>
      <c r="B284" s="5" t="s">
        <v>14</v>
      </c>
      <c r="C284" s="5">
        <f>SUMIFS(sale[Amount],sale[Geography],B284)</f>
        <v>189434</v>
      </c>
      <c r="D284" s="2" t="s">
        <v>11</v>
      </c>
      <c r="E284" s="2">
        <v>4781</v>
      </c>
      <c r="F284" s="2">
        <f>sale[[#This Row],[Amount]]-sale[[#This Row],[Cost]]</f>
        <v>2998.73</v>
      </c>
      <c r="G284" s="6">
        <v>1782.27</v>
      </c>
      <c r="H284" s="2">
        <v>123</v>
      </c>
      <c r="I284" s="2">
        <v>123</v>
      </c>
      <c r="J284" s="4"/>
      <c r="K284" s="4"/>
    </row>
    <row r="285" spans="1:11" x14ac:dyDescent="0.3">
      <c r="A285" s="8" t="s">
        <v>35</v>
      </c>
      <c r="B285" s="8" t="s">
        <v>29</v>
      </c>
      <c r="C285" s="5">
        <f>SUMIFS(sale[Amount],sale[Geography],B285)</f>
        <v>168679</v>
      </c>
      <c r="D285" s="2" t="s">
        <v>25</v>
      </c>
      <c r="E285" s="2">
        <v>7483</v>
      </c>
      <c r="F285" s="2">
        <f>sale[[#This Row],[Amount]]-sale[[#This Row],[Cost]]</f>
        <v>6891.25</v>
      </c>
      <c r="G285" s="2">
        <v>591.75</v>
      </c>
      <c r="H285" s="2">
        <v>45</v>
      </c>
      <c r="I285" s="2">
        <v>45</v>
      </c>
      <c r="J285" s="4"/>
      <c r="K285" s="4"/>
    </row>
    <row r="286" spans="1:11" x14ac:dyDescent="0.3">
      <c r="A286" s="5" t="s">
        <v>46</v>
      </c>
      <c r="B286" s="5" t="s">
        <v>29</v>
      </c>
      <c r="C286" s="5">
        <f>SUMIFS(sale[Amount],sale[Geography],B286)</f>
        <v>168679</v>
      </c>
      <c r="D286" s="2" t="s">
        <v>18</v>
      </c>
      <c r="E286" s="2">
        <v>6860</v>
      </c>
      <c r="F286" s="2">
        <f>sale[[#This Row],[Amount]]-sale[[#This Row],[Cost]]</f>
        <v>5363.12</v>
      </c>
      <c r="G286" s="6">
        <v>1496.88</v>
      </c>
      <c r="H286" s="2">
        <v>126</v>
      </c>
      <c r="I286" s="2">
        <v>126</v>
      </c>
      <c r="J286" s="4"/>
      <c r="K286" s="4"/>
    </row>
    <row r="287" spans="1:11" x14ac:dyDescent="0.3">
      <c r="A287" s="8" t="s">
        <v>9</v>
      </c>
      <c r="B287" s="8" t="s">
        <v>10</v>
      </c>
      <c r="C287" s="5">
        <f>SUMIFS(sale[Amount],sale[Geography],B287)</f>
        <v>218813</v>
      </c>
      <c r="D287" s="2" t="s">
        <v>43</v>
      </c>
      <c r="E287" s="2">
        <v>9002</v>
      </c>
      <c r="F287" s="2">
        <f>sale[[#This Row],[Amount]]-sale[[#This Row],[Cost]]</f>
        <v>8486.48</v>
      </c>
      <c r="G287" s="2">
        <v>515.52</v>
      </c>
      <c r="H287" s="2">
        <v>72</v>
      </c>
      <c r="I287" s="2">
        <v>72</v>
      </c>
      <c r="J287" s="4"/>
      <c r="K287" s="4"/>
    </row>
    <row r="288" spans="1:11" x14ac:dyDescent="0.3">
      <c r="A288" s="5" t="s">
        <v>23</v>
      </c>
      <c r="B288" s="5" t="s">
        <v>20</v>
      </c>
      <c r="C288" s="5">
        <f>SUMIFS(sale[Amount],sale[Geography],B288)</f>
        <v>237944</v>
      </c>
      <c r="D288" s="2" t="s">
        <v>43</v>
      </c>
      <c r="E288" s="2">
        <v>1400</v>
      </c>
      <c r="F288" s="2">
        <f>sale[[#This Row],[Amount]]-sale[[#This Row],[Cost]]</f>
        <v>433.4</v>
      </c>
      <c r="G288" s="6">
        <v>966.6</v>
      </c>
      <c r="H288" s="2">
        <v>135</v>
      </c>
      <c r="I288" s="2">
        <v>135</v>
      </c>
      <c r="J288" s="4"/>
      <c r="K288" s="4"/>
    </row>
    <row r="289" spans="1:11" x14ac:dyDescent="0.3">
      <c r="A289" s="8" t="s">
        <v>46</v>
      </c>
      <c r="B289" s="8" t="s">
        <v>41</v>
      </c>
      <c r="C289" s="5">
        <f>SUMIFS(sale[Amount],sale[Geography],B289)</f>
        <v>252469</v>
      </c>
      <c r="D289" s="2" t="s">
        <v>31</v>
      </c>
      <c r="E289" s="2">
        <v>4053</v>
      </c>
      <c r="F289" s="2">
        <f>sale[[#This Row],[Amount]]-sale[[#This Row],[Cost]]</f>
        <v>3818.52</v>
      </c>
      <c r="G289" s="2">
        <v>234.48</v>
      </c>
      <c r="H289" s="2">
        <v>24</v>
      </c>
      <c r="I289" s="2">
        <v>24</v>
      </c>
      <c r="J289" s="4"/>
      <c r="K289" s="4"/>
    </row>
    <row r="290" spans="1:11" x14ac:dyDescent="0.3">
      <c r="A290" s="5" t="s">
        <v>33</v>
      </c>
      <c r="B290" s="5" t="s">
        <v>20</v>
      </c>
      <c r="C290" s="5">
        <f>SUMIFS(sale[Amount],sale[Geography],B290)</f>
        <v>237944</v>
      </c>
      <c r="D290" s="2" t="s">
        <v>30</v>
      </c>
      <c r="E290" s="2">
        <v>2149</v>
      </c>
      <c r="F290" s="2">
        <f>sale[[#This Row],[Amount]]-sale[[#This Row],[Cost]]</f>
        <v>1471.5700000000002</v>
      </c>
      <c r="G290" s="6">
        <v>677.43</v>
      </c>
      <c r="H290" s="2">
        <v>117</v>
      </c>
      <c r="I290" s="2">
        <v>117</v>
      </c>
      <c r="J290" s="4"/>
      <c r="K290" s="4"/>
    </row>
    <row r="291" spans="1:11" x14ac:dyDescent="0.3">
      <c r="A291" s="8" t="s">
        <v>38</v>
      </c>
      <c r="B291" s="8" t="s">
        <v>24</v>
      </c>
      <c r="C291" s="5">
        <f>SUMIFS(sale[Amount],sale[Geography],B291)</f>
        <v>173530</v>
      </c>
      <c r="D291" s="2" t="s">
        <v>43</v>
      </c>
      <c r="E291" s="2">
        <v>3640</v>
      </c>
      <c r="F291" s="2">
        <f>sale[[#This Row],[Amount]]-sale[[#This Row],[Cost]]</f>
        <v>3274.84</v>
      </c>
      <c r="G291" s="2">
        <v>365.16</v>
      </c>
      <c r="H291" s="2">
        <v>51</v>
      </c>
      <c r="I291" s="2">
        <v>51</v>
      </c>
      <c r="J291" s="4"/>
      <c r="K291" s="4"/>
    </row>
    <row r="292" spans="1:11" x14ac:dyDescent="0.3">
      <c r="A292" s="5" t="s">
        <v>37</v>
      </c>
      <c r="B292" s="5" t="s">
        <v>24</v>
      </c>
      <c r="C292" s="5">
        <f>SUMIFS(sale[Amount],sale[Geography],B292)</f>
        <v>173530</v>
      </c>
      <c r="D292" s="2" t="s">
        <v>39</v>
      </c>
      <c r="E292" s="2">
        <v>630</v>
      </c>
      <c r="F292" s="2">
        <f>sale[[#This Row],[Amount]]-sale[[#This Row],[Cost]]</f>
        <v>396.36</v>
      </c>
      <c r="G292" s="6">
        <v>233.64000000000001</v>
      </c>
      <c r="H292" s="2">
        <v>36</v>
      </c>
      <c r="I292" s="2">
        <v>36</v>
      </c>
      <c r="J292" s="4"/>
      <c r="K292" s="4"/>
    </row>
    <row r="293" spans="1:11" x14ac:dyDescent="0.3">
      <c r="A293" s="8" t="s">
        <v>17</v>
      </c>
      <c r="B293" s="8" t="s">
        <v>14</v>
      </c>
      <c r="C293" s="5">
        <f>SUMIFS(sale[Amount],sale[Geography],B293)</f>
        <v>189434</v>
      </c>
      <c r="D293" s="2" t="s">
        <v>44</v>
      </c>
      <c r="E293" s="2">
        <v>2429</v>
      </c>
      <c r="F293" s="2">
        <f>sale[[#This Row],[Amount]]-sale[[#This Row],[Cost]]</f>
        <v>19.880000000000109</v>
      </c>
      <c r="G293" s="2">
        <v>2409.12</v>
      </c>
      <c r="H293" s="2">
        <v>144</v>
      </c>
      <c r="I293" s="2">
        <v>144</v>
      </c>
      <c r="J293" s="4"/>
      <c r="K293" s="4"/>
    </row>
    <row r="294" spans="1:11" x14ac:dyDescent="0.3">
      <c r="A294" s="5" t="s">
        <v>17</v>
      </c>
      <c r="B294" s="5" t="s">
        <v>20</v>
      </c>
      <c r="C294" s="5">
        <f>SUMIFS(sale[Amount],sale[Geography],B294)</f>
        <v>237944</v>
      </c>
      <c r="D294" s="2" t="s">
        <v>25</v>
      </c>
      <c r="E294" s="2">
        <v>2142</v>
      </c>
      <c r="F294" s="2">
        <f>sale[[#This Row],[Amount]]-sale[[#This Row],[Cost]]</f>
        <v>642.89999999999986</v>
      </c>
      <c r="G294" s="6">
        <v>1499.1000000000001</v>
      </c>
      <c r="H294" s="2">
        <v>114</v>
      </c>
      <c r="I294" s="2">
        <v>114</v>
      </c>
      <c r="J294" s="4"/>
      <c r="K294" s="4"/>
    </row>
    <row r="295" spans="1:11" x14ac:dyDescent="0.3">
      <c r="A295" s="8" t="s">
        <v>33</v>
      </c>
      <c r="B295" s="8" t="s">
        <v>10</v>
      </c>
      <c r="C295" s="5">
        <f>SUMIFS(sale[Amount],sale[Geography],B295)</f>
        <v>218813</v>
      </c>
      <c r="D295" s="2" t="s">
        <v>11</v>
      </c>
      <c r="E295" s="2">
        <v>6454</v>
      </c>
      <c r="F295" s="2">
        <f>sale[[#This Row],[Amount]]-sale[[#This Row],[Cost]]</f>
        <v>5671.54</v>
      </c>
      <c r="G295" s="2">
        <v>782.46</v>
      </c>
      <c r="H295" s="2">
        <v>54</v>
      </c>
      <c r="I295" s="2">
        <v>54</v>
      </c>
      <c r="J295" s="4"/>
      <c r="K295" s="4"/>
    </row>
    <row r="296" spans="1:11" x14ac:dyDescent="0.3">
      <c r="A296" s="5" t="s">
        <v>33</v>
      </c>
      <c r="B296" s="5" t="s">
        <v>10</v>
      </c>
      <c r="C296" s="5">
        <f>SUMIFS(sale[Amount],sale[Geography],B296)</f>
        <v>218813</v>
      </c>
      <c r="D296" s="2" t="s">
        <v>26</v>
      </c>
      <c r="E296" s="2">
        <v>4487</v>
      </c>
      <c r="F296" s="2">
        <f>sale[[#This Row],[Amount]]-sale[[#This Row],[Cost]]</f>
        <v>1559.9300000000003</v>
      </c>
      <c r="G296" s="6">
        <v>2927.0699999999997</v>
      </c>
      <c r="H296" s="2">
        <v>333</v>
      </c>
      <c r="I296" s="2">
        <v>333</v>
      </c>
      <c r="J296" s="4"/>
      <c r="K296" s="4"/>
    </row>
    <row r="297" spans="1:11" x14ac:dyDescent="0.3">
      <c r="A297" s="8" t="s">
        <v>38</v>
      </c>
      <c r="B297" s="8" t="s">
        <v>10</v>
      </c>
      <c r="C297" s="5">
        <f>SUMIFS(sale[Amount],sale[Geography],B297)</f>
        <v>218813</v>
      </c>
      <c r="D297" s="2" t="s">
        <v>18</v>
      </c>
      <c r="E297" s="2">
        <v>938</v>
      </c>
      <c r="F297" s="2">
        <f>sale[[#This Row],[Amount]]-sale[[#This Row],[Cost]]</f>
        <v>-3410.08</v>
      </c>
      <c r="G297" s="2">
        <v>4348.08</v>
      </c>
      <c r="H297" s="2">
        <v>366</v>
      </c>
      <c r="I297" s="2">
        <v>366</v>
      </c>
      <c r="J297" s="4"/>
      <c r="K297" s="4"/>
    </row>
    <row r="298" spans="1:11" x14ac:dyDescent="0.3">
      <c r="A298" s="5" t="s">
        <v>38</v>
      </c>
      <c r="B298" s="5" t="s">
        <v>29</v>
      </c>
      <c r="C298" s="5">
        <f>SUMIFS(sale[Amount],sale[Geography],B298)</f>
        <v>168679</v>
      </c>
      <c r="D298" s="2" t="s">
        <v>42</v>
      </c>
      <c r="E298" s="2">
        <v>8841</v>
      </c>
      <c r="F298" s="2">
        <f>sale[[#This Row],[Amount]]-sale[[#This Row],[Cost]]</f>
        <v>7144.2</v>
      </c>
      <c r="G298" s="6">
        <v>1696.8</v>
      </c>
      <c r="H298" s="2">
        <v>303</v>
      </c>
      <c r="I298" s="2">
        <v>303</v>
      </c>
      <c r="J298" s="4"/>
      <c r="K298" s="4"/>
    </row>
    <row r="299" spans="1:11" x14ac:dyDescent="0.3">
      <c r="A299" s="8" t="s">
        <v>37</v>
      </c>
      <c r="B299" s="8" t="s">
        <v>24</v>
      </c>
      <c r="C299" s="5">
        <f>SUMIFS(sale[Amount],sale[Geography],B299)</f>
        <v>173530</v>
      </c>
      <c r="D299" s="2" t="s">
        <v>27</v>
      </c>
      <c r="E299" s="2">
        <v>4018</v>
      </c>
      <c r="F299" s="2">
        <f>sale[[#This Row],[Amount]]-sale[[#This Row],[Cost]]</f>
        <v>2459.38</v>
      </c>
      <c r="G299" s="2">
        <v>1558.62</v>
      </c>
      <c r="H299" s="2">
        <v>126</v>
      </c>
      <c r="I299" s="2">
        <v>126</v>
      </c>
      <c r="J299" s="4"/>
      <c r="K299" s="4"/>
    </row>
    <row r="300" spans="1:11" x14ac:dyDescent="0.3">
      <c r="A300" s="5" t="s">
        <v>19</v>
      </c>
      <c r="B300" s="5" t="s">
        <v>10</v>
      </c>
      <c r="C300" s="5">
        <f>SUMIFS(sale[Amount],sale[Geography],B300)</f>
        <v>218813</v>
      </c>
      <c r="D300" s="2" t="s">
        <v>22</v>
      </c>
      <c r="E300" s="2">
        <v>714</v>
      </c>
      <c r="F300" s="2">
        <f>sale[[#This Row],[Amount]]-sale[[#This Row],[Cost]]</f>
        <v>-1995.63</v>
      </c>
      <c r="G300" s="6">
        <v>2709.63</v>
      </c>
      <c r="H300" s="2">
        <v>231</v>
      </c>
      <c r="I300" s="2">
        <v>231</v>
      </c>
      <c r="J300" s="4"/>
      <c r="K300" s="4"/>
    </row>
    <row r="301" spans="1:11" x14ac:dyDescent="0.3">
      <c r="A301" s="8" t="s">
        <v>17</v>
      </c>
      <c r="B301" s="8" t="s">
        <v>29</v>
      </c>
      <c r="C301" s="5">
        <f>SUMIFS(sale[Amount],sale[Geography],B301)</f>
        <v>168679</v>
      </c>
      <c r="D301" s="2" t="s">
        <v>25</v>
      </c>
      <c r="E301" s="2">
        <v>3850</v>
      </c>
      <c r="F301" s="2">
        <f>sale[[#This Row],[Amount]]-sale[[#This Row],[Cost]]</f>
        <v>2508.6999999999998</v>
      </c>
      <c r="G301" s="2">
        <v>1341.3</v>
      </c>
      <c r="H301" s="2">
        <v>102</v>
      </c>
      <c r="I301" s="2">
        <v>102</v>
      </c>
      <c r="J301" s="4"/>
      <c r="K301" s="4"/>
    </row>
    <row r="302" spans="1:11" x14ac:dyDescent="0.3">
      <c r="A302" s="5"/>
      <c r="B302" s="5"/>
      <c r="C302" s="5"/>
      <c r="F302" s="2">
        <f>sale[[#This Row],[Amount]]-sale[[#This Row],[Cost]]</f>
        <v>0</v>
      </c>
      <c r="J302" s="4"/>
      <c r="K302" s="4"/>
    </row>
    <row r="303" spans="1:11" x14ac:dyDescent="0.3">
      <c r="A303" s="8"/>
      <c r="B303" s="8"/>
      <c r="C303" s="8">
        <f>SUMIFS(sale[Amount],sale[Geography],B302)</f>
        <v>0</v>
      </c>
      <c r="F303" s="2">
        <f>sale[[#This Row],[Amount]]-sale[[#This Row],[Cost]]</f>
        <v>0</v>
      </c>
      <c r="J303" s="4"/>
      <c r="K303" s="4"/>
    </row>
    <row r="304" spans="1:11" x14ac:dyDescent="0.3">
      <c r="J304" s="4"/>
      <c r="K304" s="4"/>
    </row>
    <row r="305" spans="10:11" x14ac:dyDescent="0.3">
      <c r="J305" s="4"/>
      <c r="K305" s="4"/>
    </row>
    <row r="306" spans="10:11" x14ac:dyDescent="0.3">
      <c r="J306" s="4"/>
      <c r="K306" s="4"/>
    </row>
    <row r="307" spans="10:11" x14ac:dyDescent="0.3">
      <c r="J307" s="4"/>
      <c r="K307" s="4"/>
    </row>
    <row r="308" spans="10:11" x14ac:dyDescent="0.3">
      <c r="J308" s="4"/>
      <c r="K308" s="4"/>
    </row>
    <row r="309" spans="10:11" x14ac:dyDescent="0.3">
      <c r="J309" s="4"/>
      <c r="K309" s="4"/>
    </row>
    <row r="310" spans="10:11" x14ac:dyDescent="0.3">
      <c r="J310" s="4"/>
      <c r="K310" s="4"/>
    </row>
    <row r="311" spans="10:11" x14ac:dyDescent="0.3">
      <c r="J311" s="4"/>
      <c r="K311" s="4"/>
    </row>
    <row r="312" spans="10:11" x14ac:dyDescent="0.3">
      <c r="J312" s="4"/>
      <c r="K312" s="4"/>
    </row>
    <row r="313" spans="10:11" x14ac:dyDescent="0.3">
      <c r="J313" s="4"/>
      <c r="K313" s="4"/>
    </row>
    <row r="314" spans="10:11" x14ac:dyDescent="0.3">
      <c r="J314" s="4"/>
      <c r="K314" s="4"/>
    </row>
    <row r="315" spans="10:11" x14ac:dyDescent="0.3">
      <c r="J315" s="4"/>
      <c r="K315" s="4"/>
    </row>
    <row r="316" spans="10:11" x14ac:dyDescent="0.3">
      <c r="J316" s="4"/>
      <c r="K316" s="4"/>
    </row>
    <row r="317" spans="10:11" x14ac:dyDescent="0.3">
      <c r="J317" s="4"/>
      <c r="K317" s="4"/>
    </row>
    <row r="318" spans="10:11" x14ac:dyDescent="0.3">
      <c r="J318" s="4"/>
      <c r="K318" s="4"/>
    </row>
    <row r="319" spans="10:11" x14ac:dyDescent="0.3">
      <c r="J319" s="4"/>
      <c r="K319" s="4"/>
    </row>
    <row r="320" spans="10:11" x14ac:dyDescent="0.3">
      <c r="J320" s="4"/>
      <c r="K320" s="4"/>
    </row>
    <row r="321" spans="10:11" x14ac:dyDescent="0.3">
      <c r="J321" s="4"/>
      <c r="K321" s="4"/>
    </row>
    <row r="322" spans="10:11" x14ac:dyDescent="0.3">
      <c r="J322" s="4"/>
      <c r="K322" s="4"/>
    </row>
    <row r="323" spans="10:11" x14ac:dyDescent="0.3">
      <c r="J323" s="4"/>
      <c r="K323" s="4"/>
    </row>
    <row r="324" spans="10:11" x14ac:dyDescent="0.3">
      <c r="J324" s="4"/>
      <c r="K324" s="4"/>
    </row>
    <row r="325" spans="10:11" x14ac:dyDescent="0.3">
      <c r="J325" s="4"/>
      <c r="K325" s="4"/>
    </row>
    <row r="326" spans="10:11" x14ac:dyDescent="0.3">
      <c r="J326" s="4"/>
      <c r="K326" s="4"/>
    </row>
    <row r="327" spans="10:11" x14ac:dyDescent="0.3">
      <c r="J327" s="4"/>
      <c r="K327" s="4"/>
    </row>
    <row r="328" spans="10:11" x14ac:dyDescent="0.3">
      <c r="J328" s="4"/>
      <c r="K328" s="4"/>
    </row>
    <row r="329" spans="10:11" x14ac:dyDescent="0.3">
      <c r="J329" s="4"/>
      <c r="K329" s="4"/>
    </row>
    <row r="330" spans="10:11" x14ac:dyDescent="0.3">
      <c r="J330" s="4"/>
      <c r="K330" s="4"/>
    </row>
    <row r="331" spans="10:11" x14ac:dyDescent="0.3">
      <c r="J331" s="4"/>
      <c r="K331" s="4"/>
    </row>
    <row r="332" spans="10:11" x14ac:dyDescent="0.3">
      <c r="J332" s="4"/>
      <c r="K332" s="4"/>
    </row>
    <row r="333" spans="10:11" x14ac:dyDescent="0.3">
      <c r="J333" s="4"/>
      <c r="K333" s="4"/>
    </row>
    <row r="334" spans="10:11" x14ac:dyDescent="0.3">
      <c r="J334" s="4"/>
      <c r="K334" s="4"/>
    </row>
    <row r="335" spans="10:11" x14ac:dyDescent="0.3">
      <c r="J335" s="4"/>
      <c r="K335" s="4"/>
    </row>
    <row r="336" spans="10:11" x14ac:dyDescent="0.3">
      <c r="J336" s="4"/>
      <c r="K336" s="4"/>
    </row>
    <row r="337" spans="10:11" x14ac:dyDescent="0.3">
      <c r="J337" s="4"/>
      <c r="K337" s="4"/>
    </row>
    <row r="338" spans="10:11" x14ac:dyDescent="0.3">
      <c r="J338" s="4"/>
      <c r="K338" s="4"/>
    </row>
    <row r="339" spans="10:11" x14ac:dyDescent="0.3">
      <c r="J339" s="4"/>
      <c r="K339" s="4"/>
    </row>
    <row r="340" spans="10:11" x14ac:dyDescent="0.3">
      <c r="J340" s="4"/>
      <c r="K340" s="4"/>
    </row>
    <row r="341" spans="10:11" x14ac:dyDescent="0.3">
      <c r="J341" s="4"/>
      <c r="K341" s="4"/>
    </row>
    <row r="342" spans="10:11" x14ac:dyDescent="0.3">
      <c r="J342" s="4"/>
      <c r="K342" s="4"/>
    </row>
    <row r="343" spans="10:11" x14ac:dyDescent="0.3">
      <c r="J343" s="4"/>
      <c r="K343" s="4"/>
    </row>
    <row r="344" spans="10:11" x14ac:dyDescent="0.3">
      <c r="J344" s="4"/>
      <c r="K344" s="4"/>
    </row>
    <row r="345" spans="10:11" x14ac:dyDescent="0.3">
      <c r="J345" s="4"/>
      <c r="K345" s="4"/>
    </row>
    <row r="346" spans="10:11" x14ac:dyDescent="0.3">
      <c r="J346" s="4"/>
      <c r="K346" s="4"/>
    </row>
    <row r="347" spans="10:11" x14ac:dyDescent="0.3">
      <c r="J347" s="4"/>
      <c r="K347" s="4"/>
    </row>
    <row r="348" spans="10:11" x14ac:dyDescent="0.3">
      <c r="J348" s="4"/>
      <c r="K348" s="4"/>
    </row>
    <row r="349" spans="10:11" x14ac:dyDescent="0.3">
      <c r="J349" s="4"/>
      <c r="K349" s="4"/>
    </row>
    <row r="350" spans="10:11" x14ac:dyDescent="0.3">
      <c r="J350" s="4"/>
      <c r="K350" s="4"/>
    </row>
    <row r="351" spans="10:11" x14ac:dyDescent="0.3">
      <c r="J351" s="4"/>
      <c r="K351" s="4"/>
    </row>
    <row r="352" spans="10:11" x14ac:dyDescent="0.3">
      <c r="J352" s="4"/>
      <c r="K352" s="4"/>
    </row>
    <row r="353" spans="10:11" x14ac:dyDescent="0.3">
      <c r="J353" s="4"/>
      <c r="K353" s="4"/>
    </row>
    <row r="354" spans="10:11" x14ac:dyDescent="0.3">
      <c r="J354" s="4"/>
      <c r="K354" s="4"/>
    </row>
    <row r="355" spans="10:11" x14ac:dyDescent="0.3">
      <c r="J355" s="4"/>
      <c r="K355" s="4"/>
    </row>
    <row r="356" spans="10:11" x14ac:dyDescent="0.3">
      <c r="J356" s="4"/>
      <c r="K356" s="4"/>
    </row>
    <row r="357" spans="10:11" x14ac:dyDescent="0.3">
      <c r="J357" s="4"/>
      <c r="K357" s="4"/>
    </row>
    <row r="358" spans="10:11" x14ac:dyDescent="0.3">
      <c r="J358" s="4"/>
      <c r="K358" s="4"/>
    </row>
    <row r="359" spans="10:11" x14ac:dyDescent="0.3">
      <c r="J359" s="4"/>
      <c r="K359" s="4"/>
    </row>
    <row r="360" spans="10:11" x14ac:dyDescent="0.3">
      <c r="J360" s="4"/>
      <c r="K360" s="4"/>
    </row>
    <row r="361" spans="10:11" x14ac:dyDescent="0.3">
      <c r="J361" s="4"/>
      <c r="K361" s="4"/>
    </row>
    <row r="362" spans="10:11" x14ac:dyDescent="0.3">
      <c r="J362" s="4"/>
      <c r="K362" s="4"/>
    </row>
    <row r="363" spans="10:11" x14ac:dyDescent="0.3">
      <c r="J363" s="4"/>
      <c r="K363" s="4"/>
    </row>
    <row r="364" spans="10:11" x14ac:dyDescent="0.3">
      <c r="J364" s="4"/>
      <c r="K364" s="4"/>
    </row>
    <row r="365" spans="10:11" x14ac:dyDescent="0.3">
      <c r="J365" s="4"/>
      <c r="K365" s="4"/>
    </row>
    <row r="366" spans="10:11" x14ac:dyDescent="0.3">
      <c r="J366" s="4"/>
      <c r="K366" s="4"/>
    </row>
    <row r="367" spans="10:11" x14ac:dyDescent="0.3">
      <c r="J367" s="4"/>
      <c r="K367" s="4"/>
    </row>
    <row r="368" spans="10:11" x14ac:dyDescent="0.3">
      <c r="J368" s="4"/>
      <c r="K368" s="4"/>
    </row>
    <row r="369" spans="10:11" x14ac:dyDescent="0.3">
      <c r="J369" s="4"/>
      <c r="K369" s="4"/>
    </row>
    <row r="370" spans="10:11" x14ac:dyDescent="0.3">
      <c r="J370" s="4"/>
      <c r="K370" s="4"/>
    </row>
    <row r="371" spans="10:11" x14ac:dyDescent="0.3">
      <c r="J371" s="4"/>
      <c r="K371" s="4"/>
    </row>
    <row r="372" spans="10:11" x14ac:dyDescent="0.3">
      <c r="J372" s="4"/>
      <c r="K372" s="4"/>
    </row>
    <row r="373" spans="10:11" x14ac:dyDescent="0.3">
      <c r="J373" s="4"/>
      <c r="K373" s="4"/>
    </row>
    <row r="374" spans="10:11" x14ac:dyDescent="0.3">
      <c r="J374" s="4"/>
      <c r="K374" s="4"/>
    </row>
    <row r="375" spans="10:11" x14ac:dyDescent="0.3">
      <c r="J375" s="4"/>
      <c r="K375" s="4"/>
    </row>
    <row r="376" spans="10:11" x14ac:dyDescent="0.3">
      <c r="J376" s="4"/>
      <c r="K376" s="4"/>
    </row>
    <row r="377" spans="10:11" x14ac:dyDescent="0.3">
      <c r="J377" s="4"/>
      <c r="K377" s="4"/>
    </row>
    <row r="378" spans="10:11" x14ac:dyDescent="0.3">
      <c r="J378" s="4"/>
      <c r="K378" s="4"/>
    </row>
    <row r="379" spans="10:11" x14ac:dyDescent="0.3">
      <c r="J379" s="4"/>
      <c r="K379" s="4"/>
    </row>
    <row r="380" spans="10:11" x14ac:dyDescent="0.3">
      <c r="J380" s="4"/>
      <c r="K380" s="4"/>
    </row>
    <row r="381" spans="10:11" x14ac:dyDescent="0.3">
      <c r="J381" s="4"/>
      <c r="K381" s="4"/>
    </row>
    <row r="382" spans="10:11" x14ac:dyDescent="0.3">
      <c r="J382" s="4"/>
      <c r="K382" s="4"/>
    </row>
    <row r="383" spans="10:11" x14ac:dyDescent="0.3">
      <c r="J383" s="4"/>
      <c r="K383" s="4"/>
    </row>
    <row r="384" spans="10:11" x14ac:dyDescent="0.3">
      <c r="J384" s="4"/>
      <c r="K384" s="4"/>
    </row>
    <row r="385" spans="10:11" x14ac:dyDescent="0.3">
      <c r="J385" s="4"/>
      <c r="K385" s="4"/>
    </row>
    <row r="386" spans="10:11" x14ac:dyDescent="0.3">
      <c r="J386" s="4"/>
      <c r="K386" s="4"/>
    </row>
    <row r="387" spans="10:11" x14ac:dyDescent="0.3">
      <c r="J387" s="4"/>
      <c r="K387" s="4"/>
    </row>
    <row r="388" spans="10:11" x14ac:dyDescent="0.3">
      <c r="J388" s="4"/>
      <c r="K388" s="4"/>
    </row>
    <row r="389" spans="10:11" x14ac:dyDescent="0.3">
      <c r="J389" s="4"/>
      <c r="K389" s="4"/>
    </row>
    <row r="390" spans="10:11" x14ac:dyDescent="0.3">
      <c r="J390" s="4"/>
      <c r="K390" s="4"/>
    </row>
    <row r="391" spans="10:11" x14ac:dyDescent="0.3">
      <c r="J391" s="4"/>
      <c r="K391" s="4"/>
    </row>
    <row r="392" spans="10:11" x14ac:dyDescent="0.3">
      <c r="J392" s="4"/>
      <c r="K392" s="4"/>
    </row>
    <row r="393" spans="10:11" x14ac:dyDescent="0.3">
      <c r="J393" s="4"/>
      <c r="K393" s="4"/>
    </row>
    <row r="394" spans="10:11" x14ac:dyDescent="0.3">
      <c r="J394" s="4"/>
      <c r="K394" s="4"/>
    </row>
    <row r="395" spans="10:11" x14ac:dyDescent="0.3">
      <c r="J395" s="4"/>
      <c r="K395" s="4"/>
    </row>
    <row r="396" spans="10:11" x14ac:dyDescent="0.3">
      <c r="J396" s="4"/>
      <c r="K396" s="4"/>
    </row>
    <row r="397" spans="10:11" x14ac:dyDescent="0.3">
      <c r="J397" s="4"/>
      <c r="K397" s="4"/>
    </row>
    <row r="398" spans="10:11" x14ac:dyDescent="0.3">
      <c r="J398" s="4"/>
      <c r="K398" s="4"/>
    </row>
    <row r="399" spans="10:11" x14ac:dyDescent="0.3">
      <c r="J399" s="4"/>
      <c r="K399" s="4"/>
    </row>
    <row r="400" spans="10:11" x14ac:dyDescent="0.3">
      <c r="J400" s="4"/>
      <c r="K400" s="4"/>
    </row>
    <row r="401" spans="10:11" x14ac:dyDescent="0.3">
      <c r="J401" s="4"/>
      <c r="K401" s="4"/>
    </row>
    <row r="402" spans="10:11" x14ac:dyDescent="0.3">
      <c r="J402" s="4"/>
      <c r="K402" s="4"/>
    </row>
    <row r="403" spans="10:11" x14ac:dyDescent="0.3">
      <c r="J403" s="4"/>
      <c r="K403" s="4"/>
    </row>
    <row r="404" spans="10:11" x14ac:dyDescent="0.3">
      <c r="J404" s="4"/>
      <c r="K404" s="4"/>
    </row>
    <row r="405" spans="10:11" x14ac:dyDescent="0.3">
      <c r="J405" s="4"/>
      <c r="K405" s="4"/>
    </row>
    <row r="406" spans="10:11" x14ac:dyDescent="0.3">
      <c r="J406" s="4"/>
      <c r="K406" s="4"/>
    </row>
    <row r="407" spans="10:11" x14ac:dyDescent="0.3">
      <c r="J407" s="4"/>
      <c r="K407" s="4"/>
    </row>
    <row r="408" spans="10:11" x14ac:dyDescent="0.3">
      <c r="J408" s="4"/>
      <c r="K408" s="4"/>
    </row>
    <row r="409" spans="10:11" x14ac:dyDescent="0.3">
      <c r="J409" s="4"/>
      <c r="K409" s="4"/>
    </row>
    <row r="410" spans="10:11" x14ac:dyDescent="0.3">
      <c r="J410" s="4"/>
      <c r="K410" s="4"/>
    </row>
    <row r="411" spans="10:11" x14ac:dyDescent="0.3">
      <c r="J411" s="4"/>
      <c r="K411" s="4"/>
    </row>
    <row r="412" spans="10:11" x14ac:dyDescent="0.3">
      <c r="J412" s="4"/>
      <c r="K412" s="4"/>
    </row>
    <row r="413" spans="10:11" x14ac:dyDescent="0.3">
      <c r="J413" s="4"/>
      <c r="K413" s="4"/>
    </row>
    <row r="414" spans="10:11" x14ac:dyDescent="0.3">
      <c r="J414" s="4"/>
      <c r="K414" s="4"/>
    </row>
    <row r="415" spans="10:11" x14ac:dyDescent="0.3">
      <c r="J415" s="4"/>
      <c r="K415" s="4"/>
    </row>
    <row r="416" spans="10:11" x14ac:dyDescent="0.3">
      <c r="J416" s="4"/>
      <c r="K416" s="4"/>
    </row>
    <row r="417" spans="10:11" x14ac:dyDescent="0.3">
      <c r="J417" s="4"/>
      <c r="K417" s="4"/>
    </row>
    <row r="418" spans="10:11" x14ac:dyDescent="0.3">
      <c r="J418" s="4"/>
      <c r="K418" s="4"/>
    </row>
    <row r="419" spans="10:11" x14ac:dyDescent="0.3">
      <c r="J419" s="4"/>
      <c r="K419" s="4"/>
    </row>
    <row r="420" spans="10:11" x14ac:dyDescent="0.3">
      <c r="J420" s="4"/>
      <c r="K420" s="4"/>
    </row>
    <row r="421" spans="10:11" x14ac:dyDescent="0.3">
      <c r="J421" s="4"/>
      <c r="K421" s="4"/>
    </row>
    <row r="422" spans="10:11" x14ac:dyDescent="0.3">
      <c r="J422" s="4"/>
      <c r="K422" s="4"/>
    </row>
    <row r="423" spans="10:11" x14ac:dyDescent="0.3">
      <c r="J423" s="4"/>
      <c r="K423" s="4"/>
    </row>
    <row r="424" spans="10:11" x14ac:dyDescent="0.3">
      <c r="J424" s="4"/>
      <c r="K424" s="4"/>
    </row>
    <row r="425" spans="10:11" x14ac:dyDescent="0.3">
      <c r="J425" s="4"/>
      <c r="K425" s="4"/>
    </row>
    <row r="426" spans="10:11" x14ac:dyDescent="0.3">
      <c r="J426" s="4"/>
      <c r="K426" s="4"/>
    </row>
    <row r="427" spans="10:11" x14ac:dyDescent="0.3">
      <c r="J427" s="4"/>
      <c r="K427" s="4"/>
    </row>
    <row r="428" spans="10:11" x14ac:dyDescent="0.3">
      <c r="J428" s="4"/>
      <c r="K428" s="4"/>
    </row>
    <row r="429" spans="10:11" x14ac:dyDescent="0.3">
      <c r="J429" s="4"/>
      <c r="K429" s="4"/>
    </row>
    <row r="430" spans="10:11" x14ac:dyDescent="0.3">
      <c r="J430" s="4"/>
      <c r="K430" s="4"/>
    </row>
    <row r="431" spans="10:11" x14ac:dyDescent="0.3">
      <c r="J431" s="4"/>
      <c r="K431" s="4"/>
    </row>
    <row r="432" spans="10:11" x14ac:dyDescent="0.3">
      <c r="J432" s="4"/>
      <c r="K432" s="4"/>
    </row>
    <row r="433" spans="10:11" x14ac:dyDescent="0.3">
      <c r="J433" s="4"/>
      <c r="K433" s="4"/>
    </row>
    <row r="434" spans="10:11" x14ac:dyDescent="0.3">
      <c r="J434" s="4"/>
      <c r="K434" s="4"/>
    </row>
    <row r="435" spans="10:11" x14ac:dyDescent="0.3">
      <c r="J435" s="4"/>
      <c r="K435" s="4"/>
    </row>
    <row r="436" spans="10:11" x14ac:dyDescent="0.3">
      <c r="J436" s="4"/>
      <c r="K436" s="4"/>
    </row>
    <row r="437" spans="10:11" x14ac:dyDescent="0.3">
      <c r="J437" s="4"/>
      <c r="K437" s="4"/>
    </row>
    <row r="438" spans="10:11" x14ac:dyDescent="0.3">
      <c r="J438" s="4"/>
      <c r="K438" s="4"/>
    </row>
    <row r="439" spans="10:11" x14ac:dyDescent="0.3">
      <c r="J439" s="4"/>
      <c r="K439" s="4"/>
    </row>
    <row r="440" spans="10:11" x14ac:dyDescent="0.3">
      <c r="J440" s="4"/>
      <c r="K440" s="4"/>
    </row>
    <row r="441" spans="10:11" x14ac:dyDescent="0.3">
      <c r="J441" s="4"/>
      <c r="K441" s="4"/>
    </row>
    <row r="442" spans="10:11" x14ac:dyDescent="0.3">
      <c r="J442" s="4"/>
      <c r="K442" s="4"/>
    </row>
    <row r="443" spans="10:11" x14ac:dyDescent="0.3">
      <c r="J443" s="4"/>
      <c r="K443" s="4"/>
    </row>
    <row r="444" spans="10:11" x14ac:dyDescent="0.3">
      <c r="J444" s="4"/>
      <c r="K444" s="4"/>
    </row>
    <row r="445" spans="10:11" x14ac:dyDescent="0.3">
      <c r="J445" s="4"/>
      <c r="K445" s="4"/>
    </row>
    <row r="446" spans="10:11" x14ac:dyDescent="0.3">
      <c r="J446" s="4"/>
      <c r="K446" s="4"/>
    </row>
    <row r="447" spans="10:11" x14ac:dyDescent="0.3">
      <c r="J447" s="4"/>
      <c r="K447" s="4"/>
    </row>
    <row r="448" spans="10:11" x14ac:dyDescent="0.3">
      <c r="J448" s="4"/>
      <c r="K448" s="4"/>
    </row>
    <row r="449" spans="10:11" x14ac:dyDescent="0.3">
      <c r="J449" s="4"/>
      <c r="K449" s="4"/>
    </row>
    <row r="450" spans="10:11" x14ac:dyDescent="0.3">
      <c r="J450" s="4"/>
      <c r="K450" s="4"/>
    </row>
    <row r="451" spans="10:11" x14ac:dyDescent="0.3">
      <c r="J451" s="4"/>
      <c r="K451" s="4"/>
    </row>
    <row r="452" spans="10:11" x14ac:dyDescent="0.3">
      <c r="J452" s="4"/>
      <c r="K452" s="4"/>
    </row>
    <row r="453" spans="10:11" x14ac:dyDescent="0.3">
      <c r="J453" s="4"/>
      <c r="K453" s="4"/>
    </row>
    <row r="454" spans="10:11" x14ac:dyDescent="0.3">
      <c r="J454" s="4"/>
      <c r="K454" s="4"/>
    </row>
    <row r="455" spans="10:11" x14ac:dyDescent="0.3">
      <c r="J455" s="4"/>
      <c r="K455" s="4"/>
    </row>
    <row r="456" spans="10:11" x14ac:dyDescent="0.3">
      <c r="J456" s="4"/>
      <c r="K456" s="4"/>
    </row>
    <row r="457" spans="10:11" x14ac:dyDescent="0.3">
      <c r="J457" s="4"/>
      <c r="K457" s="4"/>
    </row>
    <row r="458" spans="10:11" x14ac:dyDescent="0.3">
      <c r="J458" s="4"/>
      <c r="K458" s="4"/>
    </row>
    <row r="459" spans="10:11" x14ac:dyDescent="0.3">
      <c r="J459" s="4"/>
      <c r="K459" s="4"/>
    </row>
    <row r="460" spans="10:11" x14ac:dyDescent="0.3">
      <c r="J460" s="4"/>
      <c r="K460" s="4"/>
    </row>
    <row r="461" spans="10:11" x14ac:dyDescent="0.3">
      <c r="J461" s="4"/>
      <c r="K461" s="4"/>
    </row>
    <row r="462" spans="10:11" x14ac:dyDescent="0.3">
      <c r="J462" s="4"/>
      <c r="K462" s="4"/>
    </row>
    <row r="463" spans="10:11" x14ac:dyDescent="0.3">
      <c r="J463" s="4"/>
      <c r="K463" s="4"/>
    </row>
    <row r="464" spans="10:11" x14ac:dyDescent="0.3">
      <c r="J464" s="4"/>
      <c r="K464" s="4"/>
    </row>
    <row r="465" spans="10:11" x14ac:dyDescent="0.3">
      <c r="J465" s="4"/>
      <c r="K465" s="4"/>
    </row>
    <row r="466" spans="10:11" x14ac:dyDescent="0.3">
      <c r="J466" s="4"/>
      <c r="K466" s="4"/>
    </row>
    <row r="467" spans="10:11" x14ac:dyDescent="0.3">
      <c r="J467" s="4"/>
      <c r="K467" s="4"/>
    </row>
    <row r="468" spans="10:11" x14ac:dyDescent="0.3">
      <c r="J468" s="4"/>
      <c r="K468" s="4"/>
    </row>
    <row r="469" spans="10:11" x14ac:dyDescent="0.3">
      <c r="J469" s="4"/>
      <c r="K469" s="4"/>
    </row>
    <row r="470" spans="10:11" x14ac:dyDescent="0.3">
      <c r="J470" s="4"/>
      <c r="K470" s="4"/>
    </row>
    <row r="471" spans="10:11" x14ac:dyDescent="0.3">
      <c r="J471" s="4"/>
      <c r="K471" s="4"/>
    </row>
    <row r="472" spans="10:11" x14ac:dyDescent="0.3">
      <c r="J472" s="4"/>
      <c r="K472" s="4"/>
    </row>
    <row r="473" spans="10:11" x14ac:dyDescent="0.3">
      <c r="J473" s="4"/>
      <c r="K473" s="4"/>
    </row>
    <row r="474" spans="10:11" x14ac:dyDescent="0.3">
      <c r="J474" s="4"/>
      <c r="K474" s="4"/>
    </row>
    <row r="475" spans="10:11" x14ac:dyDescent="0.3">
      <c r="J475" s="4"/>
      <c r="K475" s="4"/>
    </row>
    <row r="476" spans="10:11" x14ac:dyDescent="0.3">
      <c r="J476" s="4"/>
      <c r="K476" s="4"/>
    </row>
    <row r="477" spans="10:11" x14ac:dyDescent="0.3">
      <c r="J477" s="4"/>
      <c r="K477" s="4"/>
    </row>
    <row r="478" spans="10:11" x14ac:dyDescent="0.3">
      <c r="J478" s="4"/>
      <c r="K478" s="4"/>
    </row>
    <row r="479" spans="10:11" x14ac:dyDescent="0.3">
      <c r="J479" s="4"/>
      <c r="K479" s="4"/>
    </row>
    <row r="480" spans="10:11" x14ac:dyDescent="0.3">
      <c r="J480" s="4"/>
      <c r="K480" s="4"/>
    </row>
    <row r="481" spans="10:11" x14ac:dyDescent="0.3">
      <c r="J481" s="4"/>
      <c r="K481" s="4"/>
    </row>
    <row r="482" spans="10:11" x14ac:dyDescent="0.3">
      <c r="J482" s="4"/>
      <c r="K482" s="4"/>
    </row>
    <row r="483" spans="10:11" x14ac:dyDescent="0.3">
      <c r="J483" s="4"/>
      <c r="K483" s="4"/>
    </row>
    <row r="484" spans="10:11" x14ac:dyDescent="0.3">
      <c r="J484" s="4"/>
      <c r="K484" s="4"/>
    </row>
    <row r="485" spans="10:11" x14ac:dyDescent="0.3">
      <c r="J485" s="4"/>
      <c r="K485" s="4"/>
    </row>
    <row r="486" spans="10:11" x14ac:dyDescent="0.3">
      <c r="J486" s="4"/>
      <c r="K486" s="4"/>
    </row>
    <row r="487" spans="10:11" x14ac:dyDescent="0.3">
      <c r="J487" s="4"/>
      <c r="K487" s="4"/>
    </row>
    <row r="488" spans="10:11" x14ac:dyDescent="0.3">
      <c r="J488" s="4"/>
      <c r="K488" s="4"/>
    </row>
    <row r="489" spans="10:11" x14ac:dyDescent="0.3">
      <c r="J489" s="4"/>
      <c r="K489" s="4"/>
    </row>
    <row r="490" spans="10:11" x14ac:dyDescent="0.3">
      <c r="J490" s="4"/>
      <c r="K490" s="4"/>
    </row>
    <row r="491" spans="10:11" x14ac:dyDescent="0.3">
      <c r="J491" s="4"/>
      <c r="K491" s="4"/>
    </row>
    <row r="492" spans="10:11" x14ac:dyDescent="0.3">
      <c r="J492" s="4"/>
      <c r="K492" s="4"/>
    </row>
    <row r="493" spans="10:11" x14ac:dyDescent="0.3">
      <c r="J493" s="4"/>
      <c r="K493" s="4"/>
    </row>
    <row r="494" spans="10:11" x14ac:dyDescent="0.3">
      <c r="J494" s="4"/>
      <c r="K494" s="4"/>
    </row>
    <row r="495" spans="10:11" x14ac:dyDescent="0.3">
      <c r="J495" s="4"/>
      <c r="K495" s="4"/>
    </row>
    <row r="496" spans="10:11" x14ac:dyDescent="0.3">
      <c r="J496" s="4"/>
      <c r="K496" s="4"/>
    </row>
    <row r="497" spans="10:11" x14ac:dyDescent="0.3">
      <c r="J497" s="4"/>
      <c r="K497" s="4"/>
    </row>
    <row r="498" spans="10:11" x14ac:dyDescent="0.3">
      <c r="J498" s="4"/>
      <c r="K498" s="4"/>
    </row>
    <row r="499" spans="10:11" x14ac:dyDescent="0.3">
      <c r="J499" s="4"/>
      <c r="K499" s="4"/>
    </row>
    <row r="500" spans="10:11" x14ac:dyDescent="0.3">
      <c r="J500" s="4"/>
      <c r="K500" s="4"/>
    </row>
    <row r="501" spans="10:11" x14ac:dyDescent="0.3">
      <c r="J501" s="4"/>
      <c r="K501" s="4"/>
    </row>
  </sheetData>
  <conditionalFormatting sqref="C1:C303 C502:C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{EA1D1A9F-F69F-4130-A65A-DDC01F47DA62}</x14:id>
        </ext>
      </extLst>
    </cfRule>
  </conditionalFormatting>
  <conditionalFormatting sqref="I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{7CD70290-1D7A-4AF4-8D0F-00066233A0E8}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{47D0866E-2AAE-4E06-A8B9-5D98AB1251F0}</x14:id>
        </ext>
      </extLst>
    </cfRule>
  </conditionalFormatting>
  <conditionalFormatting sqref="I1:I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{5B0F4853-284F-4EFE-AD84-4135883FC8B6}</x14:id>
        </ext>
      </extLst>
    </cfRule>
  </conditionalFormatting>
  <conditionalFormatting sqref="I302:I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{420352D2-8D12-4F73-BA03-62BCEA39A7C8}</x14:id>
        </ext>
      </extLst>
    </cfRule>
  </conditionalFormatting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1D1A9F-F69F-4130-A65A-DDC01F47DA6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C1:C303 C502:C1048576</xm:sqref>
        </x14:conditionalFormatting>
        <x14:conditionalFormatting xmlns:xm="http://schemas.microsoft.com/office/excel/2006/main">
          <x14:cfRule type="dataBar" id="{7CD70290-1D7A-4AF4-8D0F-00066233A0E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7D0866E-2AAE-4E06-A8B9-5D98AB1251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5B0F4853-284F-4EFE-AD84-4135883F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420352D2-8D12-4F73-BA03-62BCEA39A7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I302:I1048576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ANURADHA BANSODE</dc:creator>
  <cp:lastModifiedBy>ANURADHA BANSODE</cp:lastModifiedBy>
  <dcterms:created xsi:type="dcterms:W3CDTF">2025-11-18T18:38:21Z</dcterms:created>
  <dcterms:modified xsi:type="dcterms:W3CDTF">2025-11-18T18:38:59Z</dcterms:modified>
</cp:coreProperties>
</file>